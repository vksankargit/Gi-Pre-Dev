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groupinfinite1-my.sharepoint.com/personal/ajinkya_s_groupinfinite_com/Documents/Group Infinite/4. Projects/2025_GI_Engagement Full Kit Templates/PERI WoW/New Testing Files/"/>
    </mc:Choice>
  </mc:AlternateContent>
  <xr:revisionPtr revIDLastSave="195" documentId="13_ncr:1_{DC6E0868-80CC-4A69-9EB6-B6C920BAE091}" xr6:coauthVersionLast="47" xr6:coauthVersionMax="47" xr10:uidLastSave="{4E973703-F5F3-4E73-B05F-DBEF943693AC}"/>
  <bookViews>
    <workbookView xWindow="28680" yWindow="-120" windowWidth="29040" windowHeight="15840" firstSheet="3" xr2:uid="{4CA2D389-89B0-49FD-B0C5-C373758DC147}"/>
  </bookViews>
  <sheets>
    <sheet name="FPI" sheetId="1" r:id="rId1"/>
    <sheet name="GPI-M" sheetId="7" r:id="rId2"/>
    <sheet name="GPI-W" sheetId="9" r:id="rId3"/>
    <sheet name="PPI" sheetId="8" r:id="rId4"/>
  </sheets>
  <definedNames>
    <definedName name="_xlnm._FilterDatabase" localSheetId="0" hidden="1">FPI!$B$4:$K$4</definedName>
    <definedName name="_xlnm._FilterDatabase" localSheetId="2" hidden="1">'GPI-W'!$B$4:$V$4</definedName>
    <definedName name="_xlnm._FilterDatabase" localSheetId="3" hidden="1">PPI!$B$4:$V$4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J18" i="1"/>
  <c r="I18" i="1"/>
  <c r="H18" i="1"/>
  <c r="G18" i="1"/>
  <c r="F18" i="1"/>
  <c r="E18" i="1"/>
  <c r="K12" i="1"/>
  <c r="J12" i="1"/>
  <c r="I12" i="1"/>
  <c r="H12" i="1"/>
  <c r="G12" i="1"/>
  <c r="F12" i="1"/>
  <c r="E12" i="1"/>
  <c r="K8" i="1"/>
  <c r="J8" i="1"/>
  <c r="J13" i="1" s="1"/>
  <c r="I8" i="1"/>
  <c r="I13" i="1" s="1"/>
  <c r="H8" i="1"/>
  <c r="G8" i="1"/>
  <c r="F8" i="1"/>
  <c r="F13" i="1" s="1"/>
  <c r="E8" i="1"/>
  <c r="E13" i="1" s="1"/>
  <c r="H13" i="1"/>
  <c r="G13" i="1"/>
  <c r="G19" i="1" s="1"/>
  <c r="G23" i="1" s="1"/>
  <c r="G25" i="1" s="1"/>
  <c r="K13" i="1" l="1"/>
  <c r="K19" i="1" s="1"/>
  <c r="K23" i="1" s="1"/>
  <c r="K25" i="1" s="1"/>
  <c r="H19" i="1"/>
  <c r="H23" i="1" s="1"/>
  <c r="H25" i="1" s="1"/>
  <c r="F19" i="1"/>
  <c r="F23" i="1" s="1"/>
  <c r="F25" i="1" s="1"/>
  <c r="F14" i="1"/>
  <c r="J19" i="1"/>
  <c r="J23" i="1" s="1"/>
  <c r="J25" i="1" s="1"/>
  <c r="J14" i="1"/>
  <c r="E19" i="1"/>
  <c r="E23" i="1" s="1"/>
  <c r="E25" i="1" s="1"/>
  <c r="E14" i="1"/>
  <c r="I19" i="1"/>
  <c r="I23" i="1" s="1"/>
  <c r="I25" i="1" s="1"/>
  <c r="I14" i="1"/>
  <c r="H14" i="1"/>
  <c r="G14" i="1"/>
  <c r="K14" i="1"/>
</calcChain>
</file>

<file path=xl/sharedStrings.xml><?xml version="1.0" encoding="utf-8"?>
<sst xmlns="http://schemas.openxmlformats.org/spreadsheetml/2006/main" count="237" uniqueCount="170">
  <si>
    <t>FINANCIAL PROGRESS INDICATORS</t>
  </si>
  <si>
    <t>Main Head</t>
  </si>
  <si>
    <t>Sub-head</t>
  </si>
  <si>
    <t>Responsibility</t>
  </si>
  <si>
    <t>Annual Goal</t>
  </si>
  <si>
    <t>YTD till last quarter</t>
  </si>
  <si>
    <t>Next Quarter Budget</t>
  </si>
  <si>
    <t>Next Quarter Goal</t>
  </si>
  <si>
    <t>M1 Budget</t>
  </si>
  <si>
    <t>M2 Budget</t>
  </si>
  <si>
    <t>M3 Budget</t>
  </si>
  <si>
    <t>Explaination</t>
  </si>
  <si>
    <t>Revenues</t>
  </si>
  <si>
    <t>Domestic</t>
  </si>
  <si>
    <t>ravi@groupinfinite.com</t>
  </si>
  <si>
    <t>Exports</t>
  </si>
  <si>
    <t>sankar.v@groupinfinite.com</t>
  </si>
  <si>
    <t>Services</t>
  </si>
  <si>
    <t>ajinkya.s@groupinfinite.com</t>
  </si>
  <si>
    <t>Total Revenue</t>
  </si>
  <si>
    <t>COGS (Variable Cost)</t>
  </si>
  <si>
    <t>Materials</t>
  </si>
  <si>
    <t>Sub-contract</t>
  </si>
  <si>
    <t>Other Variable</t>
  </si>
  <si>
    <t>Total COGS</t>
  </si>
  <si>
    <t>Gross Margin (Contribution)</t>
  </si>
  <si>
    <t>Contribution %</t>
  </si>
  <si>
    <t>Operating Expenses</t>
  </si>
  <si>
    <t>Salaries</t>
  </si>
  <si>
    <t>Power</t>
  </si>
  <si>
    <t>Other Opex</t>
  </si>
  <si>
    <t>Total Opex</t>
  </si>
  <si>
    <t>EBITDA</t>
  </si>
  <si>
    <t>Other Expenses</t>
  </si>
  <si>
    <t>Depreciation</t>
  </si>
  <si>
    <t>Interest</t>
  </si>
  <si>
    <t>Total Other Expenses</t>
  </si>
  <si>
    <t>PBT</t>
  </si>
  <si>
    <t>Taxes</t>
  </si>
  <si>
    <t>PAT</t>
  </si>
  <si>
    <t>PAT %</t>
  </si>
  <si>
    <t>GOAL PROGRESS INDICATORS - MONTHLY</t>
  </si>
  <si>
    <t>Goal Progress Indicators</t>
  </si>
  <si>
    <t>Cumulation Type (Sum / Average / NA)</t>
  </si>
  <si>
    <t>Indicator Type (Outcome / Activity)</t>
  </si>
  <si>
    <t>New Customer Acquisition</t>
  </si>
  <si>
    <t>Outcome</t>
  </si>
  <si>
    <t>Customer Retention %</t>
  </si>
  <si>
    <t>Average Order Value (₹ Lakh)</t>
  </si>
  <si>
    <t>Activity</t>
  </si>
  <si>
    <t>Employee Training Hours</t>
  </si>
  <si>
    <t>GOAL PROGRESS INDICATORS - WEEKLY</t>
  </si>
  <si>
    <t>W1 Budget</t>
  </si>
  <si>
    <t>W2 Budget</t>
  </si>
  <si>
    <t>W3 Budget</t>
  </si>
  <si>
    <t>W4 Budget</t>
  </si>
  <si>
    <t>W5 Budget</t>
  </si>
  <si>
    <t>W6 Budget</t>
  </si>
  <si>
    <t>W7 Budget</t>
  </si>
  <si>
    <t>W8 Budget</t>
  </si>
  <si>
    <t>W9 Budget</t>
  </si>
  <si>
    <t>W10 Budget</t>
  </si>
  <si>
    <t>W11 Budget</t>
  </si>
  <si>
    <t>W12 Budget</t>
  </si>
  <si>
    <t>W13 Budget</t>
  </si>
  <si>
    <t>Sales Pipeline Value (₹ Cr)</t>
  </si>
  <si>
    <t>On-time Project Delivery %</t>
  </si>
  <si>
    <t>NPS (Net Promoter Score)</t>
  </si>
  <si>
    <t>PROJECT PROGRESS INDICATORS</t>
  </si>
  <si>
    <t>Project Name</t>
  </si>
  <si>
    <t>Completion Criteria for the quarter</t>
  </si>
  <si>
    <t>Start Date</t>
  </si>
  <si>
    <t>End Date</t>
  </si>
  <si>
    <t>Steps</t>
  </si>
  <si>
    <t>ERP System Implementation</t>
  </si>
  <si>
    <t>Requirement Finalization</t>
  </si>
  <si>
    <t>Collect stakeholder input, map AS-IS, run workshops, produce signed SRS/BRD and project charter</t>
  </si>
  <si>
    <t>Kickoff meeting
Confirm stakeholders</t>
  </si>
  <si>
    <t>Collect docs
Reports forms</t>
  </si>
  <si>
    <t>Run workshops
Sales Finance</t>
  </si>
  <si>
    <t>Capture Ops HR
Support data</t>
  </si>
  <si>
    <t>Consolidate notes
Map integrations</t>
  </si>
  <si>
    <t>Draft functional req</t>
  </si>
  <si>
    <t>Define priorities
MoSCoW</t>
  </si>
  <si>
    <t>Non-func req
Interfaces list</t>
  </si>
  <si>
    <t>Prepare RFP
Share draft</t>
  </si>
  <si>
    <t>Finalize RFP
Publish vendors</t>
  </si>
  <si>
    <t>Clarify vendors
Set demos</t>
  </si>
  <si>
    <t>Sign-off SRS
Project charter</t>
  </si>
  <si>
    <t>W13 Test 1</t>
  </si>
  <si>
    <t>New Product Launch</t>
  </si>
  <si>
    <t>Market Research</t>
  </si>
  <si>
    <t>Validate product-market fit: customer interviews, competitor analysis, TAM/SAM, pilot criteria and final product spec for prototype</t>
  </si>
  <si>
    <t>Product brief
Target KPIs</t>
  </si>
  <si>
    <t>Desk research
Market reports</t>
  </si>
  <si>
    <t>Survey draft
Recruit users</t>
  </si>
  <si>
    <t>Customer interviews
Survey feedback</t>
  </si>
  <si>
    <t>Analyse feedback
Cluster segments</t>
  </si>
  <si>
    <t>Estimate TAM
Pricing scenarios</t>
  </si>
  <si>
    <t>Concept test
Mockups</t>
  </si>
  <si>
    <t>Freeze MVP
Features list</t>
  </si>
  <si>
    <t>Feasibility check
Cost margin</t>
  </si>
  <si>
    <t>Channel options
Partner list</t>
  </si>
  <si>
    <t>Pilot plan
Metrics resources</t>
  </si>
  <si>
    <t>Spec sign-off
Pilot plan</t>
  </si>
  <si>
    <t>W13 Test 2</t>
  </si>
  <si>
    <t>Export Expansion Project</t>
  </si>
  <si>
    <t>Identify Partners</t>
  </si>
  <si>
    <t>Shortlist target markets &amp; partners, outreach, initial due diligence, LOI/MoU template and pilot shipment plan</t>
  </si>
  <si>
    <t>Define criteria
Tariff demand</t>
  </si>
  <si>
    <t>Shortlist countries
List partners</t>
  </si>
  <si>
    <t>Pitch pack
Company terms</t>
  </si>
  <si>
    <t>Translate pitch
Outreach templates</t>
  </si>
  <si>
    <t>Partner outreach
Intro calls</t>
  </si>
  <si>
    <t>Capture partner info
Channel reach</t>
  </si>
  <si>
    <t>Request references
Sample orders</t>
  </si>
  <si>
    <t>Evaluate partners
Select shortlist</t>
  </si>
  <si>
    <t>LOI draft
Legal review</t>
  </si>
  <si>
    <t>Issue LOIs
Pilot terms</t>
  </si>
  <si>
    <t>Coordinate shipment
Freight docs</t>
  </si>
  <si>
    <t>Finalize partners
Approval pilots</t>
  </si>
  <si>
    <t>W13 Test 3</t>
  </si>
  <si>
    <t>Digital Marketing Revamp</t>
  </si>
  <si>
    <t>Agency Finalization</t>
  </si>
  <si>
    <t>Define brief + KPIs, RFP to shortlist agencies, run pitches, select agency and onboard with 90-day plan</t>
  </si>
  <si>
    <t>Objectives
Channels KPIs</t>
  </si>
  <si>
    <t>Draft RFP
Scope deliverables</t>
  </si>
  <si>
    <t>Shortlist agencies
Send RFP</t>
  </si>
  <si>
    <t>Review proposals
Scoring</t>
  </si>
  <si>
    <t>Shortlist agencies
Pitching</t>
  </si>
  <si>
    <t>Run pitches
Q&amp;A</t>
  </si>
  <si>
    <t>Request case studies
Client refs</t>
  </si>
  <si>
    <t>Starter plan
90-day mock</t>
  </si>
  <si>
    <t>Negotiate terms
KPI contract</t>
  </si>
  <si>
    <t>Finance review
Update SOW</t>
  </si>
  <si>
    <t>Finalize agency
Sign contract</t>
  </si>
  <si>
    <t>Onboard agency
Share assets</t>
  </si>
  <si>
    <t>W13 Test 4</t>
  </si>
  <si>
    <t>Manufacturing Automation</t>
  </si>
  <si>
    <t>Vendor Selection</t>
  </si>
  <si>
    <t>Freeze specs, invite vendors, run technical evals &amp; site visits, shortlist vendor for procurement approval</t>
  </si>
  <si>
    <t>Define objectives
Specs KPIs</t>
  </si>
  <si>
    <t>Finalize budget
Timeline</t>
  </si>
  <si>
    <t>RFP to vendors</t>
  </si>
  <si>
    <t>Collect proposals
Vendor Q&amp;A</t>
  </si>
  <si>
    <t>Site visits
Reference checks</t>
  </si>
  <si>
    <t>Evaluate proposals
Tech review</t>
  </si>
  <si>
    <t>Vendor demos
Trial runs</t>
  </si>
  <si>
    <t>Negotiate terms
Service warranty</t>
  </si>
  <si>
    <t>Validate lead times
Spares terms</t>
  </si>
  <si>
    <t>Scorecard prep
Shortlist</t>
  </si>
  <si>
    <t>Procurement summary
CAPEX approvals</t>
  </si>
  <si>
    <t>Contract draft
Q2 signing</t>
  </si>
  <si>
    <t>W13 Test 5</t>
  </si>
  <si>
    <t>Customer Portal Upgrade</t>
  </si>
  <si>
    <t>Design &amp; Wireframes</t>
  </si>
  <si>
    <t>Map personas &amp; journeys, produce low→high fidelity wireframes, usability feedback and full design handoff package</t>
  </si>
  <si>
    <t>Define personas
Use-cases</t>
  </si>
  <si>
    <t>Stakeholder interviews
Feature list</t>
  </si>
  <si>
    <t>Map journeys
Prioritize flows</t>
  </si>
  <si>
    <t>Sketch wireframes
Core flows</t>
  </si>
  <si>
    <t>Review wireframes
Stakeholder input</t>
  </si>
  <si>
    <t>High-fidelity screens
Wireframes</t>
  </si>
  <si>
    <t>Clickable prototype
Quick test</t>
  </si>
  <si>
    <t>User tests
Feedback</t>
  </si>
  <si>
    <t>Iterate design
Finalize UI</t>
  </si>
  <si>
    <t>Asset list
Icons typography</t>
  </si>
  <si>
    <t>Design spec docs
Handoff</t>
  </si>
  <si>
    <t>Dev walkthrough
Final sign-off</t>
  </si>
  <si>
    <t>W13 Test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</si>
</sst>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165" fontId="0" fillId="0" borderId="0" xfId="1" applyNumberFormat="1" applyFont="1"/>
    <xf numFmtId="0" fontId="0" fillId="0" borderId="0" xfId="0" applyAlignment="1">
      <alignment vertical="center"/>
    </xf>
    <xf numFmtId="164" fontId="0" fillId="0" borderId="0" xfId="1" applyFont="1" applyAlignment="1">
      <alignment vertic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0" fontId="5" fillId="0" borderId="0" xfId="0" applyFont="1" applyAlignment="1">
      <alignment horizontal="center" vertical="center"/>
    </xf>
    <xf numFmtId="165" fontId="2" fillId="3" borderId="2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165" fontId="2" fillId="3" borderId="3" xfId="1" applyNumberFormat="1" applyFont="1" applyFill="1" applyBorder="1" applyAlignment="1">
      <alignment horizontal="center" vertical="center" wrapText="1"/>
    </xf>
    <xf numFmtId="165" fontId="2" fillId="3" borderId="3" xfId="1" applyNumberFormat="1" applyFont="1" applyFill="1" applyBorder="1" applyAlignment="1">
      <alignment horizontal="center"/>
    </xf>
    <xf numFmtId="0" fontId="0" fillId="4" borderId="3" xfId="0" applyFill="1" applyBorder="1" applyAlignment="1">
      <alignment vertical="center"/>
    </xf>
    <xf numFmtId="0" fontId="0" fillId="0" borderId="3" xfId="0" applyBorder="1" applyAlignment="1">
      <alignment vertical="center"/>
    </xf>
    <xf numFmtId="165" fontId="0" fillId="0" borderId="3" xfId="0" applyNumberFormat="1" applyBorder="1" applyAlignment="1">
      <alignment vertical="center"/>
    </xf>
    <xf numFmtId="165" fontId="0" fillId="0" borderId="3" xfId="1" applyNumberFormat="1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6" fillId="0" borderId="0" xfId="2" applyAlignment="1">
      <alignment vertical="center" wrapText="1"/>
    </xf>
    <xf numFmtId="0" fontId="6" fillId="4" borderId="3" xfId="2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2" applyAlignment="1">
      <alignment vertical="center"/>
    </xf>
    <xf numFmtId="15" fontId="0" fillId="0" borderId="0" xfId="0" applyNumberForma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4" borderId="2" xfId="2" applyFill="1" applyBorder="1" applyAlignment="1">
      <alignment vertical="center"/>
    </xf>
    <xf numFmtId="0" fontId="6" fillId="4" borderId="2" xfId="2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3" borderId="2" xfId="0" applyFont="1" applyFill="1" applyBorder="1" applyAlignment="1">
      <alignment horizontal="center" vertical="center" wrapText="1"/>
    </xf>
    <xf numFmtId="165" fontId="2" fillId="3" borderId="2" xfId="1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9CCFF5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CD72C-94B5-48E2-81D8-87F8B9377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258041</xdr:colOff>
      <xdr:row>1</xdr:row>
      <xdr:rowOff>17097</xdr:rowOff>
    </xdr:from>
    <xdr:to>
      <xdr:col>1</xdr:col>
      <xdr:colOff>727364</xdr:colOff>
      <xdr:row>1</xdr:row>
      <xdr:rowOff>483754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3CEE4D-3915-479D-A963-5FB8E4C4C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427" y="207597"/>
          <a:ext cx="469323" cy="466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BF4B1-1D45-4AA1-AAD6-06B013D7E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125D3-BDE8-438C-9081-59165159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jinkya.s@groupinfinite.com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ajinkya.s@groupinfinite.com" TargetMode="External"/><Relationship Id="rId7" Type="http://schemas.openxmlformats.org/officeDocument/2006/relationships/hyperlink" Target="mailto:sankar.v@groupinfinite.com" TargetMode="External"/><Relationship Id="rId12" Type="http://schemas.openxmlformats.org/officeDocument/2006/relationships/hyperlink" Target="mailto:ajinkya.s@groupinfinite.com" TargetMode="External"/><Relationship Id="rId2" Type="http://schemas.openxmlformats.org/officeDocument/2006/relationships/hyperlink" Target="mailto:sankar.v@groupinfinite.com" TargetMode="External"/><Relationship Id="rId1" Type="http://schemas.openxmlformats.org/officeDocument/2006/relationships/hyperlink" Target="mailto:ravi@groupinfinite.com" TargetMode="External"/><Relationship Id="rId6" Type="http://schemas.openxmlformats.org/officeDocument/2006/relationships/hyperlink" Target="mailto:ravi@groupinfinite.com" TargetMode="External"/><Relationship Id="rId11" Type="http://schemas.openxmlformats.org/officeDocument/2006/relationships/hyperlink" Target="mailto:sankar.v@groupinfinite.com" TargetMode="External"/><Relationship Id="rId5" Type="http://schemas.openxmlformats.org/officeDocument/2006/relationships/hyperlink" Target="mailto:ajinkya.s@groupinfinite.com" TargetMode="External"/><Relationship Id="rId10" Type="http://schemas.openxmlformats.org/officeDocument/2006/relationships/hyperlink" Target="mailto:sankar.v@groupinfinite.com" TargetMode="External"/><Relationship Id="rId4" Type="http://schemas.openxmlformats.org/officeDocument/2006/relationships/hyperlink" Target="mailto:ravi@groupinfinite.com" TargetMode="External"/><Relationship Id="rId9" Type="http://schemas.openxmlformats.org/officeDocument/2006/relationships/hyperlink" Target="mailto:ravi@groupinfinit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vi@groupinfinite.com" TargetMode="External"/><Relationship Id="rId2" Type="http://schemas.openxmlformats.org/officeDocument/2006/relationships/hyperlink" Target="mailto:sankar.v@groupinfinite.com" TargetMode="External"/><Relationship Id="rId1" Type="http://schemas.openxmlformats.org/officeDocument/2006/relationships/hyperlink" Target="mailto:ravi@groupinfinite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ajinkya.s@groupinfinite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avi@groupinfinite.com" TargetMode="External"/><Relationship Id="rId2" Type="http://schemas.openxmlformats.org/officeDocument/2006/relationships/hyperlink" Target="mailto:sankar.v@groupinfinite.com" TargetMode="External"/><Relationship Id="rId1" Type="http://schemas.openxmlformats.org/officeDocument/2006/relationships/hyperlink" Target="mailto:ajinkya.s@groupinfinite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avi@groupinfinite.com" TargetMode="External"/><Relationship Id="rId7" Type="http://schemas.openxmlformats.org/officeDocument/2006/relationships/drawing" Target="../drawings/drawing4.xml"/><Relationship Id="rId2" Type="http://schemas.openxmlformats.org/officeDocument/2006/relationships/hyperlink" Target="mailto:ajinkya.s@groupinfinite.com" TargetMode="External"/><Relationship Id="rId1" Type="http://schemas.openxmlformats.org/officeDocument/2006/relationships/hyperlink" Target="mailto:ajinkya.s@groupinfinite.com" TargetMode="External"/><Relationship Id="rId6" Type="http://schemas.openxmlformats.org/officeDocument/2006/relationships/hyperlink" Target="mailto:sankar.v@groupinfinite.com" TargetMode="External"/><Relationship Id="rId5" Type="http://schemas.openxmlformats.org/officeDocument/2006/relationships/hyperlink" Target="mailto:sankar.v@groupinfinite.com" TargetMode="External"/><Relationship Id="rId4" Type="http://schemas.openxmlformats.org/officeDocument/2006/relationships/hyperlink" Target="mailto:ravi@groupinfini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98FB-AC13-4887-BF05-72BB47EC1F84}">
  <sheetPr>
    <tabColor rgb="FF9CCFF5"/>
  </sheetPr>
  <dimension ref="B2:M53"/>
  <sheetViews>
    <sheetView tabSelected="1" zoomScale="120" zoomScaleNormal="120" workbookViewId="0">
      <selection activeCell="F4" sqref="F4:H4"/>
    </sheetView>
  </sheetViews>
  <sheetFormatPr defaultColWidth="8.7109375" defaultRowHeight="15"/>
  <cols>
    <col min="1" max="1" width="4.85546875" style="1" customWidth="1"/>
    <col min="2" max="4" width="26.28515625" style="1" customWidth="1"/>
    <col min="5" max="11" width="15.5703125" style="1" customWidth="1"/>
    <col min="12" max="12" width="8.7109375" style="1"/>
    <col min="13" max="13" width="34.28515625" style="1" customWidth="1"/>
    <col min="14" max="16384" width="8.7109375" style="1"/>
  </cols>
  <sheetData>
    <row r="2" spans="2:13" ht="42" customHeight="1">
      <c r="B2" s="41" t="s">
        <v>0</v>
      </c>
      <c r="C2" s="42"/>
      <c r="D2" s="42"/>
      <c r="E2" s="42"/>
      <c r="F2" s="42"/>
      <c r="G2" s="42"/>
      <c r="H2" s="42"/>
      <c r="I2" s="42"/>
      <c r="J2" s="42"/>
      <c r="K2" s="42"/>
    </row>
    <row r="3" spans="2:13" ht="16.5" customHeight="1">
      <c r="B3" s="6"/>
      <c r="C3" s="6"/>
      <c r="D3" s="6"/>
      <c r="E3" s="6"/>
      <c r="F3" s="6"/>
      <c r="G3" s="6"/>
      <c r="H3" s="6"/>
      <c r="I3" s="6"/>
      <c r="J3" s="6"/>
      <c r="K3" s="6"/>
    </row>
    <row r="4" spans="2:13" ht="29.25">
      <c r="B4" s="35" t="s">
        <v>1</v>
      </c>
      <c r="C4" s="35" t="s">
        <v>2</v>
      </c>
      <c r="D4" s="10" t="s">
        <v>3</v>
      </c>
      <c r="E4" s="11" t="s">
        <v>4</v>
      </c>
      <c r="F4" s="7" t="s">
        <v>5</v>
      </c>
      <c r="G4" s="7" t="s">
        <v>6</v>
      </c>
      <c r="H4" s="7" t="s">
        <v>7</v>
      </c>
      <c r="I4" s="11" t="s">
        <v>8</v>
      </c>
      <c r="J4" s="11" t="s">
        <v>9</v>
      </c>
      <c r="K4" s="11" t="s">
        <v>10</v>
      </c>
      <c r="M4" s="9" t="s">
        <v>11</v>
      </c>
    </row>
    <row r="5" spans="2:13">
      <c r="B5" s="36" t="s">
        <v>12</v>
      </c>
      <c r="C5" s="36" t="s">
        <v>13</v>
      </c>
      <c r="D5" s="22" t="s">
        <v>14</v>
      </c>
      <c r="E5" s="12">
        <v>1200</v>
      </c>
      <c r="F5" s="12">
        <v>300</v>
      </c>
      <c r="G5" s="12">
        <v>320</v>
      </c>
      <c r="H5" s="12">
        <v>310</v>
      </c>
      <c r="I5" s="12">
        <v>100</v>
      </c>
      <c r="J5" s="12">
        <v>95</v>
      </c>
      <c r="K5" s="12">
        <v>115</v>
      </c>
    </row>
    <row r="6" spans="2:13">
      <c r="B6" s="36" t="s">
        <v>12</v>
      </c>
      <c r="C6" s="36" t="s">
        <v>15</v>
      </c>
      <c r="D6" s="22" t="s">
        <v>16</v>
      </c>
      <c r="E6" s="12">
        <v>800</v>
      </c>
      <c r="F6" s="12">
        <v>180</v>
      </c>
      <c r="G6" s="12">
        <v>220</v>
      </c>
      <c r="H6" s="12">
        <v>210</v>
      </c>
      <c r="I6" s="12">
        <v>70</v>
      </c>
      <c r="J6" s="12">
        <v>65</v>
      </c>
      <c r="K6" s="12">
        <v>75</v>
      </c>
    </row>
    <row r="7" spans="2:13">
      <c r="B7" s="36" t="s">
        <v>12</v>
      </c>
      <c r="C7" s="36" t="s">
        <v>17</v>
      </c>
      <c r="D7" s="22" t="s">
        <v>18</v>
      </c>
      <c r="E7" s="12">
        <v>500</v>
      </c>
      <c r="F7" s="12">
        <v>120</v>
      </c>
      <c r="G7" s="12">
        <v>130</v>
      </c>
      <c r="H7" s="12">
        <v>125</v>
      </c>
      <c r="I7" s="12">
        <v>40</v>
      </c>
      <c r="J7" s="12">
        <v>42</v>
      </c>
      <c r="K7" s="12">
        <v>43</v>
      </c>
    </row>
    <row r="8" spans="2:13">
      <c r="B8" s="36" t="s">
        <v>19</v>
      </c>
      <c r="C8" s="36"/>
      <c r="D8" s="13"/>
      <c r="E8" s="14">
        <f>E5+E6+E7</f>
        <v>2500</v>
      </c>
      <c r="F8" s="14">
        <f t="shared" ref="F8:K8" si="0">F5+F6+F7</f>
        <v>600</v>
      </c>
      <c r="G8" s="14">
        <f t="shared" si="0"/>
        <v>670</v>
      </c>
      <c r="H8" s="14">
        <f t="shared" si="0"/>
        <v>645</v>
      </c>
      <c r="I8" s="14">
        <f t="shared" si="0"/>
        <v>210</v>
      </c>
      <c r="J8" s="14">
        <f t="shared" si="0"/>
        <v>202</v>
      </c>
      <c r="K8" s="14">
        <f t="shared" si="0"/>
        <v>233</v>
      </c>
    </row>
    <row r="9" spans="2:13">
      <c r="B9" s="36" t="s">
        <v>20</v>
      </c>
      <c r="C9" s="36" t="s">
        <v>21</v>
      </c>
      <c r="D9" s="22" t="s">
        <v>14</v>
      </c>
      <c r="E9" s="12">
        <v>600</v>
      </c>
      <c r="F9" s="12">
        <v>150</v>
      </c>
      <c r="G9" s="12">
        <v>160</v>
      </c>
      <c r="H9" s="12">
        <v>155</v>
      </c>
      <c r="I9" s="12">
        <v>50</v>
      </c>
      <c r="J9" s="12">
        <v>52</v>
      </c>
      <c r="K9" s="12">
        <v>53</v>
      </c>
    </row>
    <row r="10" spans="2:13">
      <c r="B10" s="36" t="s">
        <v>20</v>
      </c>
      <c r="C10" s="36" t="s">
        <v>22</v>
      </c>
      <c r="D10" s="22" t="s">
        <v>16</v>
      </c>
      <c r="E10" s="12">
        <v>400</v>
      </c>
      <c r="F10" s="12">
        <v>100</v>
      </c>
      <c r="G10" s="12">
        <v>110</v>
      </c>
      <c r="H10" s="12">
        <v>105</v>
      </c>
      <c r="I10" s="12">
        <v>35</v>
      </c>
      <c r="J10" s="12">
        <v>40</v>
      </c>
      <c r="K10" s="12">
        <v>30</v>
      </c>
    </row>
    <row r="11" spans="2:13">
      <c r="B11" s="36" t="s">
        <v>20</v>
      </c>
      <c r="C11" s="36" t="s">
        <v>23</v>
      </c>
      <c r="D11" s="22" t="s">
        <v>18</v>
      </c>
      <c r="E11" s="12">
        <v>200</v>
      </c>
      <c r="F11" s="12">
        <v>50</v>
      </c>
      <c r="G11" s="12">
        <v>55</v>
      </c>
      <c r="H11" s="12">
        <v>52</v>
      </c>
      <c r="I11" s="12">
        <v>17</v>
      </c>
      <c r="J11" s="12">
        <v>17</v>
      </c>
      <c r="K11" s="12">
        <v>18</v>
      </c>
    </row>
    <row r="12" spans="2:13">
      <c r="B12" s="36" t="s">
        <v>24</v>
      </c>
      <c r="C12" s="36"/>
      <c r="D12" s="15"/>
      <c r="E12" s="15">
        <f>E9+E10+E11</f>
        <v>1200</v>
      </c>
      <c r="F12" s="15">
        <f t="shared" ref="F12:K12" si="1">F9+F10+F11</f>
        <v>300</v>
      </c>
      <c r="G12" s="15">
        <f t="shared" si="1"/>
        <v>325</v>
      </c>
      <c r="H12" s="15">
        <f t="shared" si="1"/>
        <v>312</v>
      </c>
      <c r="I12" s="15">
        <f t="shared" si="1"/>
        <v>102</v>
      </c>
      <c r="J12" s="15">
        <f t="shared" si="1"/>
        <v>109</v>
      </c>
      <c r="K12" s="15">
        <f t="shared" si="1"/>
        <v>101</v>
      </c>
    </row>
    <row r="13" spans="2:13" ht="30">
      <c r="B13" s="37" t="s">
        <v>25</v>
      </c>
      <c r="C13" s="37"/>
      <c r="D13" s="15"/>
      <c r="E13" s="15">
        <f>E8-E12</f>
        <v>1300</v>
      </c>
      <c r="F13" s="15">
        <f t="shared" ref="F13:K13" si="2">F8-F12</f>
        <v>300</v>
      </c>
      <c r="G13" s="15">
        <f t="shared" si="2"/>
        <v>345</v>
      </c>
      <c r="H13" s="15">
        <f t="shared" si="2"/>
        <v>333</v>
      </c>
      <c r="I13" s="15">
        <f t="shared" si="2"/>
        <v>108</v>
      </c>
      <c r="J13" s="15">
        <f t="shared" si="2"/>
        <v>93</v>
      </c>
      <c r="K13" s="15">
        <f t="shared" si="2"/>
        <v>132</v>
      </c>
    </row>
    <row r="14" spans="2:13">
      <c r="B14" s="36" t="s">
        <v>26</v>
      </c>
      <c r="C14" s="36"/>
      <c r="D14" s="13"/>
      <c r="E14" s="13">
        <f>ROUND(E13/E8,2)</f>
        <v>0.52</v>
      </c>
      <c r="F14" s="13">
        <f t="shared" ref="F14:K14" si="3">ROUND(F13/F8,2)</f>
        <v>0.5</v>
      </c>
      <c r="G14" s="13">
        <f t="shared" si="3"/>
        <v>0.51</v>
      </c>
      <c r="H14" s="13">
        <f t="shared" si="3"/>
        <v>0.52</v>
      </c>
      <c r="I14" s="13">
        <f t="shared" si="3"/>
        <v>0.51</v>
      </c>
      <c r="J14" s="13">
        <f t="shared" si="3"/>
        <v>0.46</v>
      </c>
      <c r="K14" s="13">
        <f t="shared" si="3"/>
        <v>0.56999999999999995</v>
      </c>
    </row>
    <row r="15" spans="2:13">
      <c r="B15" s="37" t="s">
        <v>27</v>
      </c>
      <c r="C15" s="37" t="s">
        <v>28</v>
      </c>
      <c r="D15" s="22" t="s">
        <v>14</v>
      </c>
      <c r="E15" s="12">
        <v>300</v>
      </c>
      <c r="F15" s="12">
        <v>70</v>
      </c>
      <c r="G15" s="12">
        <v>75</v>
      </c>
      <c r="H15" s="12">
        <v>73</v>
      </c>
      <c r="I15" s="12">
        <v>24</v>
      </c>
      <c r="J15" s="12">
        <v>24</v>
      </c>
      <c r="K15" s="12">
        <v>25</v>
      </c>
    </row>
    <row r="16" spans="2:13">
      <c r="B16" s="37" t="s">
        <v>27</v>
      </c>
      <c r="C16" s="37" t="s">
        <v>29</v>
      </c>
      <c r="D16" s="22" t="s">
        <v>16</v>
      </c>
      <c r="E16" s="12">
        <v>90</v>
      </c>
      <c r="F16" s="12">
        <v>20</v>
      </c>
      <c r="G16" s="12">
        <v>22</v>
      </c>
      <c r="H16" s="12">
        <v>21</v>
      </c>
      <c r="I16" s="12">
        <v>7</v>
      </c>
      <c r="J16" s="12">
        <v>9</v>
      </c>
      <c r="K16" s="12">
        <v>5</v>
      </c>
    </row>
    <row r="17" spans="2:11">
      <c r="B17" s="37" t="s">
        <v>27</v>
      </c>
      <c r="C17" s="37" t="s">
        <v>30</v>
      </c>
      <c r="D17" s="22" t="s">
        <v>18</v>
      </c>
      <c r="E17" s="12">
        <v>120</v>
      </c>
      <c r="F17" s="12">
        <v>28</v>
      </c>
      <c r="G17" s="12">
        <v>30</v>
      </c>
      <c r="H17" s="12">
        <v>30</v>
      </c>
      <c r="I17" s="12">
        <v>10</v>
      </c>
      <c r="J17" s="12">
        <v>8</v>
      </c>
      <c r="K17" s="12">
        <v>12</v>
      </c>
    </row>
    <row r="18" spans="2:11">
      <c r="B18" s="37" t="s">
        <v>31</v>
      </c>
      <c r="C18" s="37"/>
      <c r="D18" s="15"/>
      <c r="E18" s="15">
        <f>E15+E16+E17</f>
        <v>510</v>
      </c>
      <c r="F18" s="15">
        <f t="shared" ref="F18:K18" si="4">F15+F16+F17</f>
        <v>118</v>
      </c>
      <c r="G18" s="15">
        <f t="shared" si="4"/>
        <v>127</v>
      </c>
      <c r="H18" s="15">
        <f t="shared" si="4"/>
        <v>124</v>
      </c>
      <c r="I18" s="15">
        <f t="shared" si="4"/>
        <v>41</v>
      </c>
      <c r="J18" s="15">
        <f t="shared" si="4"/>
        <v>41</v>
      </c>
      <c r="K18" s="15">
        <f t="shared" si="4"/>
        <v>42</v>
      </c>
    </row>
    <row r="19" spans="2:11">
      <c r="B19" s="36" t="s">
        <v>32</v>
      </c>
      <c r="C19" s="36"/>
      <c r="D19" s="15"/>
      <c r="E19" s="15">
        <f>E13-E18</f>
        <v>790</v>
      </c>
      <c r="F19" s="15">
        <f t="shared" ref="F19:K19" si="5">F13-F18</f>
        <v>182</v>
      </c>
      <c r="G19" s="15">
        <f t="shared" si="5"/>
        <v>218</v>
      </c>
      <c r="H19" s="15">
        <f t="shared" si="5"/>
        <v>209</v>
      </c>
      <c r="I19" s="15">
        <f t="shared" si="5"/>
        <v>67</v>
      </c>
      <c r="J19" s="15">
        <f t="shared" si="5"/>
        <v>52</v>
      </c>
      <c r="K19" s="15">
        <f t="shared" si="5"/>
        <v>90</v>
      </c>
    </row>
    <row r="20" spans="2:11">
      <c r="B20" s="36" t="s">
        <v>33</v>
      </c>
      <c r="C20" s="36" t="s">
        <v>34</v>
      </c>
      <c r="D20" s="22" t="s">
        <v>14</v>
      </c>
      <c r="E20" s="12">
        <v>40</v>
      </c>
      <c r="F20" s="12">
        <v>10</v>
      </c>
      <c r="G20" s="12">
        <v>10</v>
      </c>
      <c r="H20" s="12">
        <v>10</v>
      </c>
      <c r="I20" s="12">
        <v>3</v>
      </c>
      <c r="J20" s="12">
        <v>3</v>
      </c>
      <c r="K20" s="12">
        <v>4</v>
      </c>
    </row>
    <row r="21" spans="2:11">
      <c r="B21" s="36" t="s">
        <v>33</v>
      </c>
      <c r="C21" s="36" t="s">
        <v>35</v>
      </c>
      <c r="D21" s="22" t="s">
        <v>16</v>
      </c>
      <c r="E21" s="12">
        <v>20</v>
      </c>
      <c r="F21" s="12">
        <v>5</v>
      </c>
      <c r="G21" s="12">
        <v>5</v>
      </c>
      <c r="H21" s="12">
        <v>5</v>
      </c>
      <c r="I21" s="12">
        <v>2</v>
      </c>
      <c r="J21" s="12">
        <v>2</v>
      </c>
      <c r="K21" s="12">
        <v>1</v>
      </c>
    </row>
    <row r="22" spans="2:11">
      <c r="B22" s="36" t="s">
        <v>36</v>
      </c>
      <c r="C22" s="36"/>
      <c r="D22" s="12"/>
      <c r="E22" s="12"/>
      <c r="F22" s="12"/>
      <c r="G22" s="12"/>
      <c r="H22" s="12"/>
      <c r="I22" s="12"/>
      <c r="J22" s="12"/>
      <c r="K22" s="12"/>
    </row>
    <row r="23" spans="2:11">
      <c r="B23" s="36" t="s">
        <v>37</v>
      </c>
      <c r="C23" s="36"/>
      <c r="D23" s="15"/>
      <c r="E23" s="15">
        <f>E19-E22</f>
        <v>790</v>
      </c>
      <c r="F23" s="15">
        <f t="shared" ref="F23:K23" si="6">F19-F22</f>
        <v>182</v>
      </c>
      <c r="G23" s="15">
        <f t="shared" si="6"/>
        <v>218</v>
      </c>
      <c r="H23" s="15">
        <f t="shared" si="6"/>
        <v>209</v>
      </c>
      <c r="I23" s="15">
        <f t="shared" si="6"/>
        <v>67</v>
      </c>
      <c r="J23" s="15">
        <f t="shared" si="6"/>
        <v>52</v>
      </c>
      <c r="K23" s="15">
        <f t="shared" si="6"/>
        <v>90</v>
      </c>
    </row>
    <row r="24" spans="2:11">
      <c r="B24" s="36" t="s">
        <v>38</v>
      </c>
      <c r="C24" s="36"/>
      <c r="D24" s="22" t="s">
        <v>18</v>
      </c>
      <c r="E24" s="12">
        <v>100</v>
      </c>
      <c r="F24" s="12">
        <v>25</v>
      </c>
      <c r="G24" s="12">
        <v>27</v>
      </c>
      <c r="H24" s="12">
        <v>26</v>
      </c>
      <c r="I24" s="12">
        <v>9</v>
      </c>
      <c r="J24" s="12">
        <v>8</v>
      </c>
      <c r="K24" s="12">
        <v>9</v>
      </c>
    </row>
    <row r="25" spans="2:11">
      <c r="B25" s="36" t="s">
        <v>39</v>
      </c>
      <c r="C25" s="36"/>
      <c r="D25" s="15"/>
      <c r="E25" s="15">
        <f>E23-E24</f>
        <v>690</v>
      </c>
      <c r="F25" s="15">
        <f t="shared" ref="F25:K25" si="7">F23-F24</f>
        <v>157</v>
      </c>
      <c r="G25" s="15">
        <f t="shared" si="7"/>
        <v>191</v>
      </c>
      <c r="H25" s="15">
        <f t="shared" si="7"/>
        <v>183</v>
      </c>
      <c r="I25" s="15">
        <f t="shared" si="7"/>
        <v>58</v>
      </c>
      <c r="J25" s="15">
        <f t="shared" si="7"/>
        <v>44</v>
      </c>
      <c r="K25" s="15">
        <f t="shared" si="7"/>
        <v>81</v>
      </c>
    </row>
    <row r="26" spans="2:11">
      <c r="B26" s="37" t="s">
        <v>40</v>
      </c>
      <c r="C26" s="37"/>
      <c r="D26" s="12"/>
      <c r="E26" s="12"/>
      <c r="F26" s="12"/>
      <c r="G26" s="12"/>
      <c r="H26" s="12"/>
      <c r="I26" s="12"/>
      <c r="J26" s="12"/>
      <c r="K26" s="12"/>
    </row>
    <row r="31" spans="2:11"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2:11">
      <c r="B32" s="18"/>
      <c r="C32" s="17"/>
      <c r="D32" s="17"/>
      <c r="E32" s="17"/>
      <c r="F32" s="17"/>
      <c r="G32" s="17"/>
      <c r="H32" s="17"/>
      <c r="I32" s="17"/>
      <c r="J32" s="17"/>
      <c r="K32" s="17"/>
    </row>
    <row r="33" spans="2:11"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2:11"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spans="2:11">
      <c r="B35" s="18"/>
      <c r="C35" s="17"/>
      <c r="D35" s="17"/>
      <c r="E35" s="17"/>
      <c r="F35" s="17"/>
      <c r="G35" s="17"/>
      <c r="H35" s="17"/>
      <c r="I35" s="17"/>
      <c r="J35" s="17"/>
      <c r="K35" s="17"/>
    </row>
    <row r="36" spans="2:11">
      <c r="B36" s="18"/>
      <c r="C36" s="17"/>
      <c r="D36" s="17"/>
      <c r="E36" s="17"/>
      <c r="F36" s="17"/>
      <c r="G36" s="17"/>
      <c r="H36" s="17"/>
      <c r="I36" s="17"/>
      <c r="J36" s="17"/>
      <c r="K36" s="17"/>
    </row>
    <row r="37" spans="2:11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2:11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2:11">
      <c r="B39" s="18"/>
      <c r="C39" s="17"/>
      <c r="D39" s="17"/>
      <c r="E39" s="17"/>
      <c r="F39" s="17"/>
      <c r="G39" s="17"/>
      <c r="H39" s="17"/>
      <c r="I39" s="17"/>
      <c r="J39" s="17"/>
      <c r="K39" s="17"/>
    </row>
    <row r="40" spans="2:11">
      <c r="B40" s="18"/>
      <c r="C40" s="17"/>
      <c r="D40" s="17"/>
      <c r="E40" s="17"/>
      <c r="F40" s="17"/>
      <c r="G40" s="17"/>
      <c r="H40" s="17"/>
      <c r="I40" s="17"/>
      <c r="J40" s="17"/>
      <c r="K40" s="17"/>
    </row>
    <row r="41" spans="2:11"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2:11">
      <c r="B42" s="18"/>
      <c r="C42" s="17"/>
      <c r="D42" s="17"/>
      <c r="E42" s="17"/>
      <c r="F42" s="17"/>
      <c r="G42" s="17"/>
      <c r="H42" s="17"/>
      <c r="I42" s="17"/>
      <c r="J42" s="17"/>
      <c r="K42" s="17"/>
    </row>
    <row r="43" spans="2:11"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2:11"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spans="2:11">
      <c r="B45" s="18"/>
      <c r="C45" s="17"/>
      <c r="D45" s="17"/>
      <c r="E45" s="17"/>
      <c r="F45" s="17"/>
      <c r="G45" s="17"/>
      <c r="H45" s="17"/>
      <c r="I45" s="17"/>
      <c r="J45" s="17"/>
      <c r="K45" s="17"/>
    </row>
    <row r="46" spans="2:11">
      <c r="B46" s="18"/>
      <c r="C46" s="17"/>
      <c r="D46" s="17"/>
      <c r="E46" s="17"/>
      <c r="F46" s="17"/>
      <c r="G46" s="17"/>
      <c r="H46" s="17"/>
      <c r="I46" s="17"/>
      <c r="J46" s="17"/>
      <c r="K46" s="17"/>
    </row>
    <row r="47" spans="2:11">
      <c r="B47" s="18"/>
      <c r="C47" s="17"/>
      <c r="D47" s="17"/>
      <c r="E47" s="17"/>
      <c r="F47" s="17"/>
      <c r="G47" s="17"/>
      <c r="H47" s="17"/>
      <c r="I47" s="17"/>
      <c r="J47" s="17"/>
      <c r="K47" s="17"/>
    </row>
    <row r="48" spans="2:11"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spans="2:11">
      <c r="B49" s="18"/>
      <c r="C49" s="17"/>
      <c r="D49" s="17"/>
      <c r="E49" s="17"/>
      <c r="F49" s="17"/>
      <c r="G49" s="17"/>
      <c r="H49" s="17"/>
      <c r="I49" s="17"/>
      <c r="J49" s="17"/>
      <c r="K49" s="17"/>
    </row>
    <row r="50" spans="2:11">
      <c r="B50" s="18"/>
      <c r="C50" s="17"/>
      <c r="D50" s="17"/>
      <c r="E50" s="17"/>
      <c r="F50" s="17"/>
      <c r="G50" s="17"/>
      <c r="H50" s="17"/>
      <c r="I50" s="17"/>
      <c r="J50" s="17"/>
      <c r="K50" s="17"/>
    </row>
    <row r="51" spans="2:11"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2:11">
      <c r="B52" s="18"/>
      <c r="C52" s="17"/>
      <c r="D52" s="17"/>
      <c r="E52" s="17"/>
      <c r="F52" s="17"/>
      <c r="G52" s="17"/>
      <c r="H52" s="17"/>
      <c r="I52" s="17"/>
      <c r="J52" s="17"/>
      <c r="K52" s="17"/>
    </row>
    <row r="53" spans="2:11">
      <c r="B53" s="17"/>
      <c r="C53" s="17"/>
      <c r="D53" s="17"/>
      <c r="E53" s="17"/>
      <c r="F53" s="17"/>
      <c r="G53" s="17"/>
      <c r="H53" s="17"/>
      <c r="I53" s="17"/>
      <c r="J53" s="17"/>
      <c r="K53" s="17"/>
    </row>
  </sheetData>
  <mergeCells count="1">
    <mergeCell ref="B2:K2"/>
  </mergeCells>
  <hyperlinks>
    <hyperlink ref="D5" r:id="rId1" xr:uid="{91249454-EB5C-4ED0-9A8B-B4A3C1F778CD}"/>
    <hyperlink ref="D6" r:id="rId2" xr:uid="{536F99F2-5845-401F-9588-9E5466B7D2F4}"/>
    <hyperlink ref="D7" r:id="rId3" xr:uid="{6AF103D2-AD7A-40EA-A8E9-A18354ABD040}"/>
    <hyperlink ref="D15" r:id="rId4" xr:uid="{3E5266EA-5307-4862-A133-8B9664129D15}"/>
    <hyperlink ref="D17" r:id="rId5" xr:uid="{03A9D583-DBB0-4B94-88FC-D5E225DD50B0}"/>
    <hyperlink ref="D20" r:id="rId6" xr:uid="{17F4FA70-F836-4C81-AF5B-C329D350F048}"/>
    <hyperlink ref="D21" r:id="rId7" xr:uid="{A909D36F-DA16-497F-84E5-3B9AEE2B251F}"/>
    <hyperlink ref="D24" r:id="rId8" xr:uid="{BC4E1C73-21F6-4BC1-8B26-415A77B79A7C}"/>
    <hyperlink ref="D9" r:id="rId9" xr:uid="{2429EF1E-6861-40A3-BE77-C3B780A74364}"/>
    <hyperlink ref="D10" r:id="rId10" xr:uid="{6E66E198-DE4B-408D-8E11-AF652DD0F7BA}"/>
    <hyperlink ref="D16" r:id="rId11" xr:uid="{A9016F73-D1B7-49DA-AFA9-9EFA2D7FEE33}"/>
    <hyperlink ref="D11" r:id="rId12" xr:uid="{D1605007-9633-49DE-9E63-E88C2DF44E82}"/>
  </hyperlinks>
  <pageMargins left="0.7" right="0.7" top="0.75" bottom="0.75" header="0.3" footer="0.3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FB70-FE62-4B17-9A06-E84F01C78C6E}">
  <sheetPr>
    <tabColor rgb="FF9CCFF5"/>
  </sheetPr>
  <dimension ref="B2:V23"/>
  <sheetViews>
    <sheetView zoomScale="110" zoomScaleNormal="110" workbookViewId="0">
      <selection activeCell="G4" sqref="G4:I4"/>
    </sheetView>
  </sheetViews>
  <sheetFormatPr defaultColWidth="8.7109375" defaultRowHeight="15"/>
  <cols>
    <col min="1" max="1" width="4.85546875" style="2" customWidth="1"/>
    <col min="2" max="2" width="27.85546875" style="2" customWidth="1"/>
    <col min="3" max="3" width="16.42578125" style="2" bestFit="1" customWidth="1"/>
    <col min="4" max="4" width="19.7109375" style="2" customWidth="1"/>
    <col min="5" max="9" width="14.28515625" style="2" customWidth="1"/>
    <col min="10" max="13" width="11.28515625" style="2" customWidth="1"/>
    <col min="14" max="14" width="34.28515625" style="2" customWidth="1"/>
    <col min="15" max="22" width="11.28515625" style="2" customWidth="1"/>
    <col min="23" max="16384" width="8.7109375" style="2"/>
  </cols>
  <sheetData>
    <row r="2" spans="2:22" ht="42" customHeight="1">
      <c r="B2" s="41" t="s">
        <v>41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2:22" ht="45.75">
      <c r="B4" s="38" t="s">
        <v>42</v>
      </c>
      <c r="C4" s="40" t="s">
        <v>43</v>
      </c>
      <c r="D4" s="38" t="s">
        <v>44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7" t="s">
        <v>10</v>
      </c>
      <c r="N4" s="9" t="s">
        <v>11</v>
      </c>
    </row>
    <row r="5" spans="2:22">
      <c r="B5" s="8" t="s">
        <v>45</v>
      </c>
      <c r="C5" s="8"/>
      <c r="D5" s="23" t="s">
        <v>46</v>
      </c>
      <c r="E5" s="33" t="s">
        <v>14</v>
      </c>
      <c r="F5" s="8">
        <v>120</v>
      </c>
      <c r="G5" s="8">
        <v>90</v>
      </c>
      <c r="H5" s="8">
        <v>30</v>
      </c>
      <c r="I5" s="8">
        <v>30</v>
      </c>
      <c r="J5" s="8">
        <v>10</v>
      </c>
      <c r="K5" s="8">
        <v>8</v>
      </c>
      <c r="L5" s="8">
        <v>12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>
      <c r="B6" s="8" t="s">
        <v>47</v>
      </c>
      <c r="C6" s="8"/>
      <c r="D6" s="23" t="s">
        <v>46</v>
      </c>
      <c r="E6" s="33" t="s">
        <v>16</v>
      </c>
      <c r="F6" s="8">
        <v>85</v>
      </c>
      <c r="G6" s="8">
        <v>64</v>
      </c>
      <c r="H6" s="8">
        <v>21</v>
      </c>
      <c r="I6" s="8">
        <v>21</v>
      </c>
      <c r="J6" s="8">
        <v>7</v>
      </c>
      <c r="K6" s="8">
        <v>5</v>
      </c>
      <c r="L6" s="8">
        <v>9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2:22">
      <c r="B7" s="8" t="s">
        <v>48</v>
      </c>
      <c r="C7" s="8"/>
      <c r="D7" s="23" t="s">
        <v>49</v>
      </c>
      <c r="E7" s="33" t="s">
        <v>14</v>
      </c>
      <c r="F7" s="8">
        <v>5</v>
      </c>
      <c r="G7" s="8">
        <v>4</v>
      </c>
      <c r="H7" s="8">
        <v>1</v>
      </c>
      <c r="I7" s="8">
        <v>1</v>
      </c>
      <c r="J7" s="8">
        <v>0</v>
      </c>
      <c r="K7" s="8">
        <v>1</v>
      </c>
      <c r="L7" s="8">
        <v>0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>
      <c r="B8" s="8" t="s">
        <v>50</v>
      </c>
      <c r="C8" s="8"/>
      <c r="D8" s="23" t="s">
        <v>46</v>
      </c>
      <c r="E8" s="33" t="s">
        <v>18</v>
      </c>
      <c r="F8" s="8">
        <v>1000</v>
      </c>
      <c r="G8" s="8">
        <v>750</v>
      </c>
      <c r="H8" s="8">
        <v>250</v>
      </c>
      <c r="I8" s="8">
        <v>250</v>
      </c>
      <c r="J8" s="8">
        <v>84</v>
      </c>
      <c r="K8" s="8">
        <v>80</v>
      </c>
      <c r="L8" s="8">
        <v>86</v>
      </c>
      <c r="M8" s="3"/>
      <c r="N8" s="3"/>
      <c r="O8" s="3"/>
      <c r="P8" s="3"/>
      <c r="Q8" s="3"/>
      <c r="R8" s="3"/>
      <c r="S8" s="3"/>
      <c r="T8" s="3"/>
      <c r="U8" s="3"/>
      <c r="V8" s="3"/>
    </row>
    <row r="9" spans="2:22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2:22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3"/>
      <c r="N11" s="3"/>
      <c r="O11" s="3"/>
      <c r="P11" s="3"/>
      <c r="Q11" s="3"/>
      <c r="R11" s="3"/>
      <c r="S11" s="3"/>
      <c r="T11" s="3"/>
      <c r="U11" s="3"/>
      <c r="V11" s="3"/>
    </row>
    <row r="16" spans="2:22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2:12">
      <c r="B17" s="16"/>
      <c r="C17" s="16"/>
      <c r="D17" s="16"/>
      <c r="E17" s="16"/>
      <c r="F17" s="16"/>
      <c r="G17" s="16"/>
      <c r="H17" s="16"/>
      <c r="I17" s="16"/>
      <c r="J17" s="16"/>
      <c r="K17" s="17"/>
      <c r="L17" s="17"/>
    </row>
    <row r="18" spans="2:12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 spans="2:12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2:12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2:12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spans="2:12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2:12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</sheetData>
  <mergeCells count="1">
    <mergeCell ref="B2:L2"/>
  </mergeCells>
  <hyperlinks>
    <hyperlink ref="E5" r:id="rId1" xr:uid="{F33D8B8A-EF6C-4AEF-A455-9D05CF78B93A}"/>
    <hyperlink ref="E6" r:id="rId2" xr:uid="{FE197221-D3D8-4ED0-8494-3A317082535F}"/>
    <hyperlink ref="E7" r:id="rId3" xr:uid="{4ED2B444-458D-4FB9-AEFD-E82D7851E2C2}"/>
    <hyperlink ref="E8" r:id="rId4" xr:uid="{B1318994-0EC0-4EF8-AE02-A5A9610290CB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0135-A9E7-4FC2-83D5-E00EF10484BE}">
  <sheetPr>
    <tabColor rgb="FF9CCFF5"/>
  </sheetPr>
  <dimension ref="B2:X21"/>
  <sheetViews>
    <sheetView zoomScaleNormal="100" workbookViewId="0">
      <selection activeCell="C4" sqref="A4:XFD6"/>
    </sheetView>
  </sheetViews>
  <sheetFormatPr defaultColWidth="8.7109375" defaultRowHeight="15"/>
  <cols>
    <col min="1" max="1" width="4.85546875" style="2" customWidth="1"/>
    <col min="2" max="2" width="28.42578125" style="2" customWidth="1"/>
    <col min="3" max="3" width="19.140625" style="2" customWidth="1"/>
    <col min="4" max="4" width="19.7109375" style="2" customWidth="1"/>
    <col min="5" max="9" width="14.28515625" style="2" customWidth="1"/>
    <col min="10" max="18" width="11.28515625" style="2" customWidth="1"/>
    <col min="19" max="22" width="12.42578125" style="2" bestFit="1" customWidth="1"/>
    <col min="23" max="23" width="11.28515625" style="2" customWidth="1"/>
    <col min="24" max="24" width="34.28515625" style="2" customWidth="1"/>
    <col min="25" max="16384" width="8.7109375" style="2"/>
  </cols>
  <sheetData>
    <row r="2" spans="2:24" ht="42" customHeight="1">
      <c r="B2" s="41" t="s">
        <v>51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32"/>
    </row>
    <row r="4" spans="2:24" ht="45.75">
      <c r="B4" s="38" t="s">
        <v>42</v>
      </c>
      <c r="C4" s="40" t="s">
        <v>43</v>
      </c>
      <c r="D4" s="38" t="s">
        <v>44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52</v>
      </c>
      <c r="K4" s="7" t="s">
        <v>53</v>
      </c>
      <c r="L4" s="7" t="s">
        <v>54</v>
      </c>
      <c r="M4" s="7" t="s">
        <v>55</v>
      </c>
      <c r="N4" s="7" t="s">
        <v>56</v>
      </c>
      <c r="O4" s="7" t="s">
        <v>57</v>
      </c>
      <c r="P4" s="7" t="s">
        <v>58</v>
      </c>
      <c r="Q4" s="7" t="s">
        <v>59</v>
      </c>
      <c r="R4" s="7" t="s">
        <v>60</v>
      </c>
      <c r="S4" s="39" t="s">
        <v>61</v>
      </c>
      <c r="T4" s="39" t="s">
        <v>62</v>
      </c>
      <c r="U4" s="39" t="s">
        <v>63</v>
      </c>
      <c r="V4" s="39" t="s">
        <v>64</v>
      </c>
      <c r="X4" s="9" t="s">
        <v>11</v>
      </c>
    </row>
    <row r="5" spans="2:24">
      <c r="B5" s="8" t="s">
        <v>65</v>
      </c>
      <c r="C5" s="8"/>
      <c r="D5" s="23" t="s">
        <v>49</v>
      </c>
      <c r="E5" s="33" t="s">
        <v>18</v>
      </c>
      <c r="F5" s="8">
        <v>200</v>
      </c>
      <c r="G5" s="8">
        <v>150</v>
      </c>
      <c r="H5" s="8">
        <v>50</v>
      </c>
      <c r="I5" s="8">
        <v>50</v>
      </c>
      <c r="J5" s="8">
        <v>4.17</v>
      </c>
      <c r="K5" s="8">
        <v>4.17</v>
      </c>
      <c r="L5" s="8">
        <v>4.17</v>
      </c>
      <c r="M5" s="8">
        <v>4.17</v>
      </c>
      <c r="N5" s="8">
        <v>4.17</v>
      </c>
      <c r="O5" s="8">
        <v>4.17</v>
      </c>
      <c r="P5" s="8">
        <v>4.17</v>
      </c>
      <c r="Q5" s="8">
        <v>4.17</v>
      </c>
      <c r="R5" s="8">
        <v>4.17</v>
      </c>
      <c r="S5" s="8">
        <v>4.17</v>
      </c>
      <c r="T5" s="8">
        <v>4.17</v>
      </c>
      <c r="U5" s="8">
        <v>4</v>
      </c>
      <c r="V5" s="8">
        <v>0.13</v>
      </c>
      <c r="W5" s="3"/>
    </row>
    <row r="6" spans="2:24">
      <c r="B6" s="8" t="s">
        <v>66</v>
      </c>
      <c r="C6" s="8"/>
      <c r="D6" s="23" t="s">
        <v>46</v>
      </c>
      <c r="E6" s="33" t="s">
        <v>16</v>
      </c>
      <c r="F6" s="8">
        <v>95</v>
      </c>
      <c r="G6" s="8">
        <v>71.25</v>
      </c>
      <c r="H6" s="8">
        <v>23.75</v>
      </c>
      <c r="I6" s="8">
        <v>23.75</v>
      </c>
      <c r="J6" s="8">
        <v>1.98</v>
      </c>
      <c r="K6" s="8">
        <v>1.98</v>
      </c>
      <c r="L6" s="8">
        <v>1.98</v>
      </c>
      <c r="M6" s="8">
        <v>1.98</v>
      </c>
      <c r="N6" s="8">
        <v>1.98</v>
      </c>
      <c r="O6" s="8">
        <v>1.98</v>
      </c>
      <c r="P6" s="8">
        <v>1.98</v>
      </c>
      <c r="Q6" s="8">
        <v>1.98</v>
      </c>
      <c r="R6" s="8">
        <v>1.98</v>
      </c>
      <c r="S6" s="8">
        <v>1.98</v>
      </c>
      <c r="T6" s="8">
        <v>1.98</v>
      </c>
      <c r="U6" s="8">
        <v>0.97</v>
      </c>
      <c r="V6" s="8">
        <v>1</v>
      </c>
      <c r="W6" s="3"/>
    </row>
    <row r="7" spans="2:24">
      <c r="B7" s="8" t="s">
        <v>67</v>
      </c>
      <c r="C7" s="8"/>
      <c r="D7" s="23" t="s">
        <v>49</v>
      </c>
      <c r="E7" s="33" t="s">
        <v>14</v>
      </c>
      <c r="F7" s="8">
        <v>60</v>
      </c>
      <c r="G7" s="8">
        <v>45</v>
      </c>
      <c r="H7" s="8">
        <v>15</v>
      </c>
      <c r="I7" s="8">
        <v>15</v>
      </c>
      <c r="J7" s="8">
        <v>1.25</v>
      </c>
      <c r="K7" s="8">
        <v>1.25</v>
      </c>
      <c r="L7" s="8">
        <v>1.25</v>
      </c>
      <c r="M7" s="8">
        <v>1.25</v>
      </c>
      <c r="N7" s="8">
        <v>1.25</v>
      </c>
      <c r="O7" s="8">
        <v>1.25</v>
      </c>
      <c r="P7" s="8">
        <v>1.25</v>
      </c>
      <c r="Q7" s="8">
        <v>1.25</v>
      </c>
      <c r="R7" s="8">
        <v>1.25</v>
      </c>
      <c r="S7" s="8">
        <v>1.25</v>
      </c>
      <c r="T7" s="8">
        <v>1.25</v>
      </c>
      <c r="U7" s="8">
        <v>1</v>
      </c>
      <c r="V7" s="8">
        <v>0.25</v>
      </c>
      <c r="W7" s="3"/>
    </row>
    <row r="8" spans="2:24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3"/>
    </row>
    <row r="9" spans="2:24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3"/>
    </row>
    <row r="10" spans="2:24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3"/>
    </row>
    <row r="11" spans="2:24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3"/>
    </row>
    <row r="12" spans="2:24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8" spans="2:22">
      <c r="B18" s="16"/>
      <c r="C18" s="16"/>
      <c r="D18" s="16"/>
      <c r="E18" s="16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2:22">
      <c r="B19" s="17"/>
      <c r="C19" s="17"/>
      <c r="D19" s="17"/>
      <c r="E19" s="21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2:22">
      <c r="B20" s="17"/>
      <c r="C20" s="17"/>
      <c r="D20" s="17"/>
      <c r="E20" s="21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2:22">
      <c r="B21" s="17"/>
      <c r="C21" s="17"/>
      <c r="D21" s="17"/>
      <c r="E21" s="21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</sheetData>
  <mergeCells count="1">
    <mergeCell ref="B2:U2"/>
  </mergeCells>
  <phoneticPr fontId="4" type="noConversion"/>
  <hyperlinks>
    <hyperlink ref="E5" r:id="rId1" xr:uid="{6E944948-6300-462B-A27C-E58D4719B92F}"/>
    <hyperlink ref="E6" r:id="rId2" xr:uid="{6E71A078-8F64-47E4-BD86-47267A9F871B}"/>
    <hyperlink ref="E7" r:id="rId3" xr:uid="{F5380B86-3B31-44CE-A15D-CD12AA21FFAE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17A3-A4B0-4F5D-8C68-7B9D23DFFD97}">
  <sheetPr>
    <tabColor rgb="FF9CCFF5"/>
  </sheetPr>
  <dimension ref="B2:V25"/>
  <sheetViews>
    <sheetView zoomScale="98" zoomScaleNormal="98" workbookViewId="0">
      <selection activeCell="J9" sqref="J9"/>
    </sheetView>
  </sheetViews>
  <sheetFormatPr defaultRowHeight="15"/>
  <cols>
    <col min="1" max="1" width="4.7109375" customWidth="1"/>
    <col min="2" max="2" width="28" bestFit="1" customWidth="1"/>
    <col min="3" max="3" width="26.5703125" customWidth="1"/>
    <col min="4" max="5" width="13.42578125" customWidth="1"/>
    <col min="6" max="6" width="10.42578125" style="4" bestFit="1" customWidth="1"/>
    <col min="7" max="7" width="24.5703125" style="4" customWidth="1"/>
    <col min="8" max="20" width="13.85546875" customWidth="1"/>
    <col min="22" max="22" width="34.28515625" customWidth="1"/>
  </cols>
  <sheetData>
    <row r="2" spans="2:22" ht="42" customHeight="1">
      <c r="B2" s="41" t="s">
        <v>68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32"/>
    </row>
    <row r="4" spans="2:22" ht="45">
      <c r="B4" s="7" t="s">
        <v>69</v>
      </c>
      <c r="C4" s="7" t="s">
        <v>70</v>
      </c>
      <c r="D4" s="7" t="s">
        <v>3</v>
      </c>
      <c r="E4" s="7" t="s">
        <v>71</v>
      </c>
      <c r="F4" s="7" t="s">
        <v>72</v>
      </c>
      <c r="G4" s="7" t="s">
        <v>73</v>
      </c>
      <c r="H4" s="7" t="s">
        <v>52</v>
      </c>
      <c r="I4" s="7" t="s">
        <v>53</v>
      </c>
      <c r="J4" s="7" t="s">
        <v>54</v>
      </c>
      <c r="K4" s="7" t="s">
        <v>55</v>
      </c>
      <c r="L4" s="7" t="s">
        <v>56</v>
      </c>
      <c r="M4" s="7" t="s">
        <v>57</v>
      </c>
      <c r="N4" s="7" t="s">
        <v>58</v>
      </c>
      <c r="O4" s="7" t="s">
        <v>59</v>
      </c>
      <c r="P4" s="7" t="s">
        <v>60</v>
      </c>
      <c r="Q4" s="7" t="s">
        <v>61</v>
      </c>
      <c r="R4" s="7" t="s">
        <v>62</v>
      </c>
      <c r="S4" s="7" t="s">
        <v>63</v>
      </c>
      <c r="T4" s="7" t="s">
        <v>64</v>
      </c>
      <c r="V4" s="25" t="s">
        <v>11</v>
      </c>
    </row>
    <row r="5" spans="2:22" ht="75">
      <c r="B5" s="23" t="s">
        <v>74</v>
      </c>
      <c r="C5" s="23" t="s">
        <v>75</v>
      </c>
      <c r="D5" s="34" t="s">
        <v>18</v>
      </c>
      <c r="E5" s="24">
        <v>45931</v>
      </c>
      <c r="F5" s="24">
        <v>45991</v>
      </c>
      <c r="G5" s="23" t="s">
        <v>76</v>
      </c>
      <c r="H5" s="23" t="s">
        <v>77</v>
      </c>
      <c r="I5" s="23" t="s">
        <v>78</v>
      </c>
      <c r="J5" s="23" t="s">
        <v>79</v>
      </c>
      <c r="K5" s="23" t="s">
        <v>80</v>
      </c>
      <c r="L5" s="23" t="s">
        <v>81</v>
      </c>
      <c r="M5" s="23" t="s">
        <v>82</v>
      </c>
      <c r="N5" s="23" t="s">
        <v>83</v>
      </c>
      <c r="O5" s="23" t="s">
        <v>84</v>
      </c>
      <c r="P5" s="23" t="s">
        <v>85</v>
      </c>
      <c r="Q5" s="23" t="s">
        <v>86</v>
      </c>
      <c r="R5" s="23" t="s">
        <v>87</v>
      </c>
      <c r="S5" s="23" t="s">
        <v>88</v>
      </c>
      <c r="T5" s="23" t="s">
        <v>89</v>
      </c>
    </row>
    <row r="6" spans="2:22" s="2" customFormat="1" ht="90">
      <c r="B6" s="23" t="s">
        <v>90</v>
      </c>
      <c r="C6" s="23" t="s">
        <v>91</v>
      </c>
      <c r="D6" s="34" t="s">
        <v>14</v>
      </c>
      <c r="E6" s="24">
        <v>45935</v>
      </c>
      <c r="F6" s="24">
        <v>45996</v>
      </c>
      <c r="G6" s="23" t="s">
        <v>92</v>
      </c>
      <c r="H6" s="23" t="s">
        <v>93</v>
      </c>
      <c r="I6" s="23" t="s">
        <v>94</v>
      </c>
      <c r="J6" s="23" t="s">
        <v>95</v>
      </c>
      <c r="K6" s="23" t="s">
        <v>96</v>
      </c>
      <c r="L6" s="23" t="s">
        <v>97</v>
      </c>
      <c r="M6" s="23" t="s">
        <v>98</v>
      </c>
      <c r="N6" s="2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</row>
    <row r="7" spans="2:22" ht="75">
      <c r="B7" s="23" t="s">
        <v>106</v>
      </c>
      <c r="C7" s="23" t="s">
        <v>107</v>
      </c>
      <c r="D7" s="34" t="s">
        <v>16</v>
      </c>
      <c r="E7" s="24">
        <v>45945</v>
      </c>
      <c r="F7" s="24">
        <v>45987</v>
      </c>
      <c r="G7" s="23" t="s">
        <v>108</v>
      </c>
      <c r="H7" s="23" t="s">
        <v>109</v>
      </c>
      <c r="I7" s="23" t="s">
        <v>110</v>
      </c>
      <c r="J7" s="23" t="s">
        <v>111</v>
      </c>
      <c r="K7" s="23" t="s">
        <v>112</v>
      </c>
      <c r="L7" s="23" t="s">
        <v>113</v>
      </c>
      <c r="M7" s="23" t="s">
        <v>114</v>
      </c>
      <c r="N7" s="23" t="s">
        <v>115</v>
      </c>
      <c r="O7" s="23" t="s">
        <v>116</v>
      </c>
      <c r="P7" s="23" t="s">
        <v>117</v>
      </c>
      <c r="Q7" s="23" t="s">
        <v>118</v>
      </c>
      <c r="R7" s="23" t="s">
        <v>119</v>
      </c>
      <c r="S7" s="23" t="s">
        <v>120</v>
      </c>
      <c r="T7" s="23" t="s">
        <v>121</v>
      </c>
    </row>
    <row r="8" spans="2:22" ht="60">
      <c r="B8" s="23" t="s">
        <v>122</v>
      </c>
      <c r="C8" s="23" t="s">
        <v>123</v>
      </c>
      <c r="D8" s="34" t="s">
        <v>18</v>
      </c>
      <c r="E8" s="24">
        <v>45939</v>
      </c>
      <c r="F8" s="24">
        <v>45962</v>
      </c>
      <c r="G8" s="23" t="s">
        <v>124</v>
      </c>
      <c r="H8" s="23" t="s">
        <v>125</v>
      </c>
      <c r="I8" s="23" t="s">
        <v>126</v>
      </c>
      <c r="J8" s="23" t="s">
        <v>127</v>
      </c>
      <c r="K8" s="23" t="s">
        <v>128</v>
      </c>
      <c r="L8" s="23" t="s">
        <v>129</v>
      </c>
      <c r="M8" s="23" t="s">
        <v>130</v>
      </c>
      <c r="N8" s="23" t="s">
        <v>131</v>
      </c>
      <c r="O8" s="23" t="s">
        <v>132</v>
      </c>
      <c r="P8" s="23" t="s">
        <v>133</v>
      </c>
      <c r="Q8" s="23" t="s">
        <v>134</v>
      </c>
      <c r="R8" s="23" t="s">
        <v>135</v>
      </c>
      <c r="S8" s="23" t="s">
        <v>136</v>
      </c>
      <c r="T8" s="23" t="s">
        <v>137</v>
      </c>
    </row>
    <row r="9" spans="2:22" ht="75">
      <c r="B9" s="23" t="s">
        <v>138</v>
      </c>
      <c r="C9" s="23" t="s">
        <v>139</v>
      </c>
      <c r="D9" s="34" t="s">
        <v>16</v>
      </c>
      <c r="E9" s="24">
        <v>45936</v>
      </c>
      <c r="F9" s="24">
        <v>45983</v>
      </c>
      <c r="G9" s="23" t="s">
        <v>140</v>
      </c>
      <c r="H9" s="23" t="s">
        <v>141</v>
      </c>
      <c r="I9" s="23" t="s">
        <v>142</v>
      </c>
      <c r="J9" s="23" t="s">
        <v>143</v>
      </c>
      <c r="K9" s="23" t="s">
        <v>144</v>
      </c>
      <c r="L9" s="23" t="s">
        <v>145</v>
      </c>
      <c r="M9" s="23" t="s">
        <v>146</v>
      </c>
      <c r="N9" s="23" t="s">
        <v>147</v>
      </c>
      <c r="O9" s="23" t="s">
        <v>148</v>
      </c>
      <c r="P9" s="23" t="s">
        <v>149</v>
      </c>
      <c r="Q9" s="23" t="s">
        <v>150</v>
      </c>
      <c r="R9" s="23" t="s">
        <v>151</v>
      </c>
      <c r="S9" s="23" t="s">
        <v>152</v>
      </c>
      <c r="T9" s="23" t="s">
        <v>153</v>
      </c>
    </row>
    <row r="10" spans="2:22" ht="75">
      <c r="B10" s="23" t="s">
        <v>154</v>
      </c>
      <c r="C10" s="23" t="s">
        <v>155</v>
      </c>
      <c r="D10" s="34" t="s">
        <v>14</v>
      </c>
      <c r="E10" s="24">
        <v>45943</v>
      </c>
      <c r="F10" s="24">
        <v>45991</v>
      </c>
      <c r="G10" s="23" t="s">
        <v>156</v>
      </c>
      <c r="H10" s="23" t="s">
        <v>157</v>
      </c>
      <c r="I10" s="23" t="s">
        <v>158</v>
      </c>
      <c r="J10" s="23" t="s">
        <v>159</v>
      </c>
      <c r="K10" s="23" t="s">
        <v>160</v>
      </c>
      <c r="L10" s="23" t="s">
        <v>161</v>
      </c>
      <c r="M10" s="23" t="s">
        <v>162</v>
      </c>
      <c r="N10" s="23" t="s">
        <v>163</v>
      </c>
      <c r="O10" s="23" t="s">
        <v>164</v>
      </c>
      <c r="P10" s="23" t="s">
        <v>165</v>
      </c>
      <c r="Q10" s="23" t="s">
        <v>166</v>
      </c>
      <c r="R10" s="23" t="s">
        <v>167</v>
      </c>
      <c r="S10" s="23" t="s">
        <v>168</v>
      </c>
      <c r="T10" s="23" t="s">
        <v>169</v>
      </c>
    </row>
    <row r="11" spans="2:22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2:2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4" spans="2:22">
      <c r="B14" s="26"/>
    </row>
    <row r="15" spans="2:22">
      <c r="F15" s="5"/>
      <c r="G15" s="5"/>
    </row>
    <row r="17" spans="2:20">
      <c r="B17" s="26"/>
    </row>
    <row r="19" spans="2:20">
      <c r="B19" s="27"/>
      <c r="C19" s="28"/>
      <c r="D19" s="27"/>
      <c r="E19" s="27"/>
      <c r="F19" s="27"/>
      <c r="G19" s="27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2:20">
      <c r="B20" s="2"/>
      <c r="C20" s="29"/>
      <c r="D20" s="30"/>
      <c r="E20" s="31"/>
      <c r="F20" s="31"/>
      <c r="G20" s="2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spans="2:20">
      <c r="B21" s="2"/>
      <c r="C21" s="29"/>
      <c r="D21" s="30"/>
      <c r="E21" s="31"/>
      <c r="F21" s="31"/>
      <c r="G21" s="2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</row>
    <row r="22" spans="2:20">
      <c r="B22" s="2"/>
      <c r="C22" s="29"/>
      <c r="D22" s="30"/>
      <c r="E22" s="31"/>
      <c r="F22" s="31"/>
      <c r="G22" s="2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2:20">
      <c r="B23" s="2"/>
      <c r="C23" s="29"/>
      <c r="D23" s="30"/>
      <c r="E23" s="31"/>
      <c r="F23" s="31"/>
      <c r="G23" s="2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spans="2:20">
      <c r="B24" s="2"/>
      <c r="C24" s="29"/>
      <c r="D24" s="30"/>
      <c r="E24" s="31"/>
      <c r="F24" s="31"/>
      <c r="G24" s="2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spans="2:20">
      <c r="B25" s="2"/>
      <c r="C25" s="29"/>
      <c r="D25" s="30"/>
      <c r="E25" s="31"/>
      <c r="F25" s="31"/>
      <c r="G25" s="2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</row>
  </sheetData>
  <mergeCells count="1">
    <mergeCell ref="B2:S2"/>
  </mergeCells>
  <phoneticPr fontId="4" type="noConversion"/>
  <hyperlinks>
    <hyperlink ref="D5" r:id="rId1" xr:uid="{48B7EDA9-E5BE-459B-87A0-40B5C97F6AB3}"/>
    <hyperlink ref="D8" r:id="rId2" xr:uid="{811203F0-B6F1-4786-875F-9F9A00D54788}"/>
    <hyperlink ref="D6" r:id="rId3" xr:uid="{69E09174-C467-434F-A149-4DA99F507288}"/>
    <hyperlink ref="D10" r:id="rId4" xr:uid="{1FCCF49D-8B32-460C-A903-A918576E024E}"/>
    <hyperlink ref="D7" r:id="rId5" xr:uid="{EB912806-0718-4BF9-A239-90D6E779A62D}"/>
    <hyperlink ref="D9" r:id="rId6" xr:uid="{C0F635DE-AEAA-4553-B485-1527DC7BE899}"/>
  </hyperlinks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598F5E763CBA4484AFCBEEFD21CC19" ma:contentTypeVersion="4" ma:contentTypeDescription="Create a new document." ma:contentTypeScope="" ma:versionID="13e416a902cd3394f49a83b0be774d63">
  <xsd:schema xmlns:xsd="http://www.w3.org/2001/XMLSchema" xmlns:xs="http://www.w3.org/2001/XMLSchema" xmlns:p="http://schemas.microsoft.com/office/2006/metadata/properties" xmlns:ns2="566e3ef1-3efa-4790-b915-c6df84a92386" targetNamespace="http://schemas.microsoft.com/office/2006/metadata/properties" ma:root="true" ma:fieldsID="bdd8e9c1ce561a7fd56ff62d33adba49" ns2:_="">
    <xsd:import namespace="566e3ef1-3efa-4790-b915-c6df84a92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e3ef1-3efa-4790-b915-c6df84a92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2B2002-3CAB-49C2-9A48-B793632A66EF}"/>
</file>

<file path=customXml/itemProps2.xml><?xml version="1.0" encoding="utf-8"?>
<ds:datastoreItem xmlns:ds="http://schemas.openxmlformats.org/officeDocument/2006/customXml" ds:itemID="{771F2E73-B2E1-4ADF-BFDF-74EB50B46CA9}"/>
</file>

<file path=customXml/itemProps3.xml><?xml version="1.0" encoding="utf-8"?>
<ds:datastoreItem xmlns:ds="http://schemas.openxmlformats.org/officeDocument/2006/customXml" ds:itemID="{61809D6B-01E8-4B9A-94CB-D4E4CC033E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 Mani</dc:creator>
  <cp:keywords/>
  <dc:description/>
  <cp:lastModifiedBy>V Sankar</cp:lastModifiedBy>
  <cp:revision/>
  <dcterms:created xsi:type="dcterms:W3CDTF">2025-01-30T02:40:28Z</dcterms:created>
  <dcterms:modified xsi:type="dcterms:W3CDTF">2025-10-12T01:57:40Z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0x010100F8598F5E763CBA4484AFCBEEFD21CC19</vt:lpwstr>
  </property>
</Properties>
</file>