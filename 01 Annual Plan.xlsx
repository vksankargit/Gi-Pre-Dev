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66925"/>
  <mc:AlternateContent xmlns:mc="http://schemas.openxmlformats.org/markup-compatibility/2006">
    <mc:Choice Requires="x15">
      <x15ac:absPath xmlns:x15ac="http://schemas.microsoft.com/office/spreadsheetml/2010/11/ac" url="https://groupinfinite1-my.sharepoint.com/personal/ajinkya_s_groupinfinite_com/Documents/Group Infinite/4. Projects/2025_GI_Engagement Full Kit Templates/PERI WoW/PERI Model Files/"/>
    </mc:Choice>
  </mc:AlternateContent>
  <xr:revisionPtr revIDLastSave="192" documentId="14_{AF66EE94-2437-4081-B05C-4B05D375531E}" xr6:coauthVersionLast="47" xr6:coauthVersionMax="47" xr10:uidLastSave="{051A0976-18A3-4A10-9D4C-A1F103C71B4C}"/>
  <bookViews>
    <workbookView xWindow="-120" yWindow="-120" windowWidth="29040" windowHeight="15840" tabRatio="822" firstSheet="14" activeTab="13" xr2:uid="{6993369D-6780-469B-90D4-782B89642506}"/>
  </bookViews>
  <sheets>
    <sheet name="Parameters" sheetId="21" state="hidden" r:id="rId1"/>
    <sheet name="PENDING TASKS" sheetId="48" state="hidden" r:id="rId2"/>
    <sheet name="Review of the Last Year" sheetId="54" r:id="rId3"/>
    <sheet name="Owner's Personal Goal" sheetId="55" r:id="rId4"/>
    <sheet name="Biz Purpose, Values, Vision" sheetId="49" r:id="rId5"/>
    <sheet name="SWOT" sheetId="46" r:id="rId6"/>
    <sheet name="Annual Goals" sheetId="18" r:id="rId7"/>
    <sheet name="Owner's Biz Goal" sheetId="43" r:id="rId8"/>
    <sheet name="FInancial Goals" sheetId="2" r:id="rId9"/>
    <sheet name="Sales Segmentation Goals" sheetId="39" r:id="rId10"/>
    <sheet name="Risk Tracker" sheetId="40" r:id="rId11"/>
    <sheet name="Organization Structure" sheetId="30" r:id="rId12"/>
    <sheet name="FPIs" sheetId="51" r:id="rId13"/>
    <sheet name="GPIs" sheetId="52" r:id="rId14"/>
    <sheet name="PPIs" sheetId="53" r:id="rId15"/>
    <sheet name="Owner's TIme" sheetId="47" r:id="rId16"/>
    <sheet name="Star Moments" sheetId="17" r:id="rId17"/>
  </sheets>
  <definedNames>
    <definedName name="_xlnm._FilterDatabase" localSheetId="4" hidden="1">'Biz Purpose, Values, Vision'!$B$29:$K$32</definedName>
    <definedName name="_xlnm._FilterDatabase" localSheetId="10" hidden="1">'Risk Tracker'!$B$6:$AD$11</definedName>
    <definedName name="_xlnm._FilterDatabase" localSheetId="16" hidden="1">'Star Moments'!$B$4:$Y$9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2" l="1"/>
  <c r="I21" i="2"/>
  <c r="I16" i="2"/>
  <c r="I15" i="2"/>
  <c r="I23" i="2" s="1"/>
  <c r="I22" i="2" s="1"/>
  <c r="G24" i="2"/>
  <c r="G21" i="2"/>
  <c r="G16" i="2"/>
  <c r="G15" i="2"/>
  <c r="G23" i="2" s="1"/>
  <c r="G22" i="2" s="1"/>
  <c r="D21" i="2"/>
  <c r="E21" i="2"/>
  <c r="C21" i="2"/>
  <c r="D24" i="2"/>
  <c r="E24" i="2"/>
  <c r="C24" i="2"/>
  <c r="D15" i="2"/>
  <c r="D23" i="2" s="1"/>
  <c r="D22" i="2" s="1"/>
  <c r="D20" i="2" s="1"/>
  <c r="E15" i="2"/>
  <c r="E23" i="2" s="1"/>
  <c r="E22" i="2" s="1"/>
  <c r="C15" i="2"/>
  <c r="D19" i="2" l="1"/>
  <c r="I20" i="2"/>
  <c r="I19" i="2" s="1"/>
  <c r="G20" i="2"/>
  <c r="G17" i="2"/>
  <c r="G18" i="2" s="1"/>
  <c r="I17" i="2"/>
  <c r="I18" i="2" s="1"/>
  <c r="C23" i="2"/>
  <c r="C22" i="2" s="1"/>
  <c r="C20" i="2" s="1"/>
  <c r="E20" i="2"/>
  <c r="E19" i="2" s="1"/>
  <c r="D16" i="2"/>
  <c r="D17" i="2" s="1"/>
  <c r="D18" i="2" s="1"/>
  <c r="E16" i="2"/>
  <c r="E17" i="2" s="1"/>
  <c r="E18" i="2" s="1"/>
  <c r="C16" i="2"/>
  <c r="C17" i="2" s="1"/>
  <c r="G19" i="2" l="1"/>
  <c r="C19" i="2"/>
  <c r="C18" i="2"/>
</calcChain>
</file>

<file path=xl/sharedStrings.xml><?xml version="1.0" encoding="utf-8"?>
<sst xmlns="http://schemas.openxmlformats.org/spreadsheetml/2006/main" count="482" uniqueCount="344">
  <si>
    <t>Thruput</t>
  </si>
  <si>
    <t>Profitability</t>
  </si>
  <si>
    <t xml:space="preserve">Sustainability </t>
  </si>
  <si>
    <t>Prime</t>
  </si>
  <si>
    <t>Process</t>
  </si>
  <si>
    <t>Revenue</t>
  </si>
  <si>
    <t>Hotlist</t>
  </si>
  <si>
    <t>On-time performance</t>
  </si>
  <si>
    <t>Due Date performance</t>
  </si>
  <si>
    <t>Market reach</t>
  </si>
  <si>
    <t>Markets addressed</t>
  </si>
  <si>
    <t>Gross Profit</t>
  </si>
  <si>
    <t>Thruput %</t>
  </si>
  <si>
    <t>Quality Measure</t>
  </si>
  <si>
    <t>% rejections</t>
  </si>
  <si>
    <t>New markets</t>
  </si>
  <si>
    <t># new markets</t>
  </si>
  <si>
    <t>Net Profit</t>
  </si>
  <si>
    <t>OE %</t>
  </si>
  <si>
    <t>New products</t>
  </si>
  <si>
    <t>% NPD project completeness</t>
  </si>
  <si>
    <t>Repeat / Predictable Biz</t>
  </si>
  <si>
    <t>% Kay account revenues</t>
  </si>
  <si>
    <t>Market Premium</t>
  </si>
  <si>
    <t>Margin %</t>
  </si>
  <si>
    <t>New capacity</t>
  </si>
  <si>
    <t>% Capacity project completions</t>
  </si>
  <si>
    <t>Market share</t>
  </si>
  <si>
    <t># survreys done</t>
  </si>
  <si>
    <t>Valuation</t>
  </si>
  <si>
    <t>Internal Value Metric</t>
  </si>
  <si>
    <t>Systems and processes</t>
  </si>
  <si>
    <t>% Improvement project completeness</t>
  </si>
  <si>
    <t>Team size</t>
  </si>
  <si>
    <t>% hiring rate</t>
  </si>
  <si>
    <t>Conversion ratio</t>
  </si>
  <si>
    <t>Monthly Conversion Ratio</t>
  </si>
  <si>
    <t>Key Team Retention</t>
  </si>
  <si>
    <t>% retention</t>
  </si>
  <si>
    <t>Channel Partners</t>
  </si>
  <si>
    <t>Hotlist of Channel Partners</t>
  </si>
  <si>
    <t>Debt Equity Ratio</t>
  </si>
  <si>
    <t>Quarterly Debt Equity Ratio</t>
  </si>
  <si>
    <t>Performance Management</t>
  </si>
  <si>
    <t>% completeness of reviews</t>
  </si>
  <si>
    <t>Capacity Utilization</t>
  </si>
  <si>
    <t>Utilization %</t>
  </si>
  <si>
    <t>Payables</t>
  </si>
  <si>
    <t>% pending dues</t>
  </si>
  <si>
    <t>Working Capital Ratio</t>
  </si>
  <si>
    <t>Cash ratios</t>
  </si>
  <si>
    <t xml:space="preserve">Collaborations </t>
  </si>
  <si>
    <t># hotlist for collaborations</t>
  </si>
  <si>
    <t>Stakeholders</t>
  </si>
  <si>
    <t>Monthly withdrawals</t>
  </si>
  <si>
    <t>Leadership team</t>
  </si>
  <si>
    <t>Review ratings</t>
  </si>
  <si>
    <t>Client Retention</t>
  </si>
  <si>
    <t># leads / referrals</t>
  </si>
  <si>
    <t>PENDING TASKS</t>
  </si>
  <si>
    <t>Ravi and RK to finalize this sheet after 5 iterations by May 2025</t>
  </si>
  <si>
    <t>Ravi to develop "Audit" checklist for consistency checks across the planning process, leading to effective reviews. Ensuring there are no gaps in executability</t>
  </si>
  <si>
    <t>Ravi to give checklist of "Functional Goals" which can be added to Owners Biz Goal sheet for info and BD sensitisation of engagements</t>
  </si>
  <si>
    <t>NOTE:</t>
  </si>
  <si>
    <t>Board Projects and Org. Str is NOT needed unless there is a BOARD REVIEW engagement. Otherwise, in case any aligner project is discovered here, it MUSt go back to the Goal Sheet for the Aligner engagement</t>
  </si>
  <si>
    <t>Hence, Aligner reviews will ONLY need Vision, Owner's Goal Sheet, SWOT, Financial Goals, Sales Segmentation Goals and Risks.</t>
  </si>
  <si>
    <t>Squence for transition to Aligners</t>
  </si>
  <si>
    <t xml:space="preserve">Aligners engagement will look at Vision for Info. </t>
  </si>
  <si>
    <t>Then, move to Financials to check OB, TVC, Margins and Budgets for later use.</t>
  </si>
  <si>
    <t>Then, move to segmentation to convert to sales plan numbers.</t>
  </si>
  <si>
    <t>Next, move to "functional / operational" goals like hotlist, lead gen, quality, attrition, etc</t>
  </si>
  <si>
    <t>Next, move to ACTION / Tracking. Pick up Owner Biz Goals, SWOT, Risks and add any other operational ones needed (quantitative and qualitative)</t>
  </si>
  <si>
    <t>Then, FOR EACH GOAL - move to quantitative trackers - GPIs - For BAU tracking where nothing new (projects beyond BAU) is needed</t>
  </si>
  <si>
    <t>Then, FOR EACH GOAL - move to projects trackers with PPIs  (for every Goal, ask if there is anything NEW to be done other than BAU)</t>
  </si>
  <si>
    <t>Finally, FOR EACH GOAL (mainly external / sales goals), ask WHAT CAN GO WRONG (obstacles becomes GPIs, Negatives become Projects, Rest left to monitor periodically)</t>
  </si>
  <si>
    <t>We end by breaking everything into 4 quarters</t>
  </si>
  <si>
    <t>Get BOARD approval and sign-off</t>
  </si>
  <si>
    <t>COMPANY NAME - REVIEW OF THE LAST YEAR</t>
  </si>
  <si>
    <t>What went right?</t>
  </si>
  <si>
    <t>What went wrong?</t>
  </si>
  <si>
    <t>Explaination</t>
  </si>
  <si>
    <t>External</t>
  </si>
  <si>
    <t>Internal</t>
  </si>
  <si>
    <t>OWNERS PERSONAL GOALS</t>
  </si>
  <si>
    <t>Parameter</t>
  </si>
  <si>
    <t>Long Term Goals</t>
  </si>
  <si>
    <t>3 Year Goals</t>
  </si>
  <si>
    <t>1 Year Goals</t>
  </si>
  <si>
    <t>Directional Milestones / Notes</t>
  </si>
  <si>
    <t>Header 1</t>
  </si>
  <si>
    <t>Header 2</t>
  </si>
  <si>
    <t>Header 3</t>
  </si>
  <si>
    <t>Header 4</t>
  </si>
  <si>
    <t>Header 5</t>
  </si>
  <si>
    <t>Header 6</t>
  </si>
  <si>
    <t>Header 7</t>
  </si>
  <si>
    <t>Any others?</t>
  </si>
  <si>
    <t>COMPANY NAME - BUSINESS PURPOSE and VALUES</t>
  </si>
  <si>
    <t>Our BUSINESS PURPOSE  (beyond profits)</t>
  </si>
  <si>
    <t xml:space="preserve">Purpose is a guiding principle. What drives you as an Entrepreneur? Beyond the obvious and important profit impact, what are your personal aspirations that the biz helps fulfill? </t>
  </si>
  <si>
    <t>Our CORE VALUES are:</t>
  </si>
  <si>
    <t>Value</t>
  </si>
  <si>
    <t>Impact - Employee Behaviour</t>
  </si>
  <si>
    <t xml:space="preserve">Value - Customer Advantage </t>
  </si>
  <si>
    <t xml:space="preserve">Investment - Cost to Company </t>
  </si>
  <si>
    <t>Values are the MUST HAVE, non-compromisables. These are violations for which you will let-go of any customer, employee or stakeholder. Hence, they need to be frugal and clear.
For it to become core, what do employees need to know and adapt their habits / behaviour?
For it to translate into value, what are the benefits to the customer and the value advantage it offers you?
What is the cost and risk to the company in making this happen? The investment must offer a return in the long run!</t>
  </si>
  <si>
    <t>Our VISION (directional and guiding)</t>
  </si>
  <si>
    <t>By the year</t>
  </si>
  <si>
    <t>Month and Year, for achieving the vision</t>
  </si>
  <si>
    <t>We will achieve</t>
  </si>
  <si>
    <t>Aspirational, Specific and Measurable Goals for the vision. Revenue, Profitabitabilty, Investments, Valuation…</t>
  </si>
  <si>
    <t>By leveraging</t>
  </si>
  <si>
    <t>Diretional biz model. Leveraging product mix, geographical presence, channels, value proposition, brand positioning, capacity, technology, Intellectual Property, Assets…</t>
  </si>
  <si>
    <t>In the process, we will</t>
  </si>
  <si>
    <t>Qualitative goals. People, process, quality, values, culture, brand…</t>
  </si>
  <si>
    <t>We will enable</t>
  </si>
  <si>
    <t>Impact creation. Shareholders, Investors, Employees, Stakeholders, Supply chain, Community...</t>
  </si>
  <si>
    <t>Milestones in the journey (key pointers)</t>
  </si>
  <si>
    <t>YEAR</t>
  </si>
  <si>
    <t>FOCUS FOR THE YEAR</t>
  </si>
  <si>
    <t>REVENUE</t>
  </si>
  <si>
    <t>EBITDA</t>
  </si>
  <si>
    <t>PAT</t>
  </si>
  <si>
    <t>Milestone Goals and Projects (No matter what!)</t>
  </si>
  <si>
    <t>Key Marker Years in the Vision. Course changing years, which are driven by shift in scale, investment, strategy, org. structure, biz model, diversification… These give tangible markers for investments, captial and shareholder alignment</t>
  </si>
  <si>
    <t>Y1</t>
  </si>
  <si>
    <t>Y3</t>
  </si>
  <si>
    <t>Y5</t>
  </si>
  <si>
    <t>Directional Biz Model - Product - Market Mix</t>
  </si>
  <si>
    <t>Segmentation Mix</t>
  </si>
  <si>
    <t>Geography 1</t>
  </si>
  <si>
    <t>Geography 2</t>
  </si>
  <si>
    <t>Geography 3</t>
  </si>
  <si>
    <t>Eventual shift in Product - Market Segmentation mix, that reflects the final Vision. 
Mark as Focus / Regular / Radar / Exit.
These can be co-related to the directional statements and milestones to provide a tangible outcome of revenue and profitability drivers. It also gives us an idea of the impact on biz and focus needed</t>
  </si>
  <si>
    <t>Segment 1</t>
  </si>
  <si>
    <t>Segment 2</t>
  </si>
  <si>
    <t>Segment 3</t>
  </si>
  <si>
    <t>Product Family 1</t>
  </si>
  <si>
    <t>Product Family 2</t>
  </si>
  <si>
    <t>Product Family 3</t>
  </si>
  <si>
    <t>Product Family 4</t>
  </si>
  <si>
    <t>Product Family 5</t>
  </si>
  <si>
    <t>SWOT ANALYSIS</t>
  </si>
  <si>
    <t>STRENGTHS</t>
  </si>
  <si>
    <t>WEAKNESSES</t>
  </si>
  <si>
    <t>Actions needed to be taken</t>
  </si>
  <si>
    <t>TOP 2</t>
  </si>
  <si>
    <t>What is their value to the Biz?</t>
  </si>
  <si>
    <t>How do they block strengths?</t>
  </si>
  <si>
    <t>OPPORTUNITIES</t>
  </si>
  <si>
    <t>THREATS</t>
  </si>
  <si>
    <t>How do these leverage our strengths?</t>
  </si>
  <si>
    <t>What risks to these bring?</t>
  </si>
  <si>
    <t>COMPANY NAME - ANNUAL GOALS</t>
  </si>
  <si>
    <t>Lead Measure</t>
  </si>
  <si>
    <t>Process Metric</t>
  </si>
  <si>
    <t>Primary</t>
  </si>
  <si>
    <t xml:space="preserve">We will achieve a </t>
  </si>
  <si>
    <t>of</t>
  </si>
  <si>
    <t>Cr</t>
  </si>
  <si>
    <t>and a</t>
  </si>
  <si>
    <t>by</t>
  </si>
  <si>
    <t>,</t>
  </si>
  <si>
    <t>Subject To</t>
  </si>
  <si>
    <t>while ensuring a</t>
  </si>
  <si>
    <t>%</t>
  </si>
  <si>
    <t>Secondary</t>
  </si>
  <si>
    <t>and seeking to</t>
  </si>
  <si>
    <t>pa</t>
  </si>
  <si>
    <t xml:space="preserve">And, in this journey, we will </t>
  </si>
  <si>
    <t>Qualitative…..regular meetings…..new processes…..</t>
  </si>
  <si>
    <t>Specifics of Targets</t>
  </si>
  <si>
    <t>CASH POSITIVE TARGET: x Cr debt reduction</t>
  </si>
  <si>
    <t>OWNERS BUSINESS GOALS</t>
  </si>
  <si>
    <t>NOTE: Executed by is "B" - BOARD only, "B-A" - Board goals cascaded to Aligners. "A" - Aligners only. "A-F" - Aligner goals cascaded to Functional Teams</t>
  </si>
  <si>
    <t>Executed By
(B / B-A / A / A-F)</t>
  </si>
  <si>
    <t>BOARD GOALS</t>
  </si>
  <si>
    <t>Vision Goals</t>
  </si>
  <si>
    <t>Purpose (beyond Profit) Achievement</t>
  </si>
  <si>
    <t>Stakeholder Alignment and Accountability</t>
  </si>
  <si>
    <t>Values (External) - Brand Alignment</t>
  </si>
  <si>
    <t>Values (Internal) - Culture Alignment</t>
  </si>
  <si>
    <t>Owner's Time Accountability</t>
  </si>
  <si>
    <t>Leadership Development Goals</t>
  </si>
  <si>
    <t>Succession / Exit Plans</t>
  </si>
  <si>
    <t>SLT Development</t>
  </si>
  <si>
    <t>Compensation Parity</t>
  </si>
  <si>
    <t>Biz and Capital Model</t>
  </si>
  <si>
    <t xml:space="preserve">Environment / Economic Outlook </t>
  </si>
  <si>
    <t>Biz Model</t>
  </si>
  <si>
    <t>Capital Model</t>
  </si>
  <si>
    <t>Investment Goals</t>
  </si>
  <si>
    <t>Strategic Collaborations / M&amp;A</t>
  </si>
  <si>
    <t>Biz Value Creation</t>
  </si>
  <si>
    <t>Personal Value Creation</t>
  </si>
  <si>
    <t>ALIGNMENT GOALS</t>
  </si>
  <si>
    <t>Biz Goals</t>
  </si>
  <si>
    <t>Market  / Industry Outlook</t>
  </si>
  <si>
    <t>Value Advantage / Differentiation</t>
  </si>
  <si>
    <t>New market segment development goals</t>
  </si>
  <si>
    <t>New geography development goals</t>
  </si>
  <si>
    <t>New sales channel development goals</t>
  </si>
  <si>
    <t>New product development / IP goals</t>
  </si>
  <si>
    <t>New Services / Value Add goals</t>
  </si>
  <si>
    <t>Operational Goals</t>
  </si>
  <si>
    <t>Operational Excellence</t>
  </si>
  <si>
    <t>Supplier / Eco system / Collaboration  Goals</t>
  </si>
  <si>
    <t>Pricing / Cost Model Goals</t>
  </si>
  <si>
    <t>Quality / Assurance Goals</t>
  </si>
  <si>
    <t>Technology Goals</t>
  </si>
  <si>
    <t>Policy / processes / compliances</t>
  </si>
  <si>
    <t>Team Development Goals</t>
  </si>
  <si>
    <t xml:space="preserve">Laternal Hiring / Organization Structure </t>
  </si>
  <si>
    <t>HR / Team Development Goals</t>
  </si>
  <si>
    <t>Financial Goals</t>
  </si>
  <si>
    <t>Debt Structure</t>
  </si>
  <si>
    <t>Balance Sheet / Asset Goals</t>
  </si>
  <si>
    <t>Statutory / Compliance / Legal</t>
  </si>
  <si>
    <t>FINANCIAL GOALS</t>
  </si>
  <si>
    <t>Note: EDITABLE ONLY</t>
  </si>
  <si>
    <t>Converted from company goals</t>
  </si>
  <si>
    <t>To be used only for initial Fixed Exp Budget</t>
  </si>
  <si>
    <t>Only for reference</t>
  </si>
  <si>
    <t>Head</t>
  </si>
  <si>
    <t>Year 1</t>
  </si>
  <si>
    <t>Year 2</t>
  </si>
  <si>
    <t>Year 3</t>
  </si>
  <si>
    <r>
      <t xml:space="preserve">Year 1 
</t>
    </r>
    <r>
      <rPr>
        <sz val="11"/>
        <color theme="1"/>
        <rFont val="Calibri"/>
        <family val="2"/>
        <scheme val="minor"/>
      </rPr>
      <t>(Pessimistic)</t>
    </r>
  </si>
  <si>
    <t>Current Year</t>
  </si>
  <si>
    <t>COGS % (Variable Cost)</t>
  </si>
  <si>
    <t>Expected PAT %</t>
  </si>
  <si>
    <t>Income tax rate %</t>
  </si>
  <si>
    <t>Other Expenses (D and I)</t>
  </si>
  <si>
    <t>FINANCIALS</t>
  </si>
  <si>
    <t>Revenues</t>
  </si>
  <si>
    <t>COGS (Variable Cost)</t>
  </si>
  <si>
    <t>Gross Margin (Contribution)</t>
  </si>
  <si>
    <t>Contribution %</t>
  </si>
  <si>
    <t>Operating Expenses</t>
  </si>
  <si>
    <r>
      <t xml:space="preserve">Other Expenses </t>
    </r>
    <r>
      <rPr>
        <sz val="11"/>
        <color theme="1"/>
        <rFont val="Calibri"/>
        <family val="2"/>
        <scheme val="minor"/>
      </rPr>
      <t>(D, I)</t>
    </r>
  </si>
  <si>
    <t>PBT</t>
  </si>
  <si>
    <t>PAT %</t>
  </si>
  <si>
    <t>Cash Reserves</t>
  </si>
  <si>
    <t>Debt Ratio</t>
  </si>
  <si>
    <t>Ratio 1</t>
  </si>
  <si>
    <t>Ratio 2</t>
  </si>
  <si>
    <t>Ratio 3</t>
  </si>
  <si>
    <t>HANDOVER NOTES</t>
  </si>
  <si>
    <t>SALES SEGMENTATION GOALS</t>
  </si>
  <si>
    <r>
      <t>NOTE: These need to be filled as "Markers" to Indicate GROW / MAINTAIN / NEW / EXIT, with % if relevant.</t>
    </r>
    <r>
      <rPr>
        <b/>
        <u/>
        <sz val="12"/>
        <color theme="1"/>
        <rFont val="Calibri (Body)"/>
      </rPr>
      <t xml:space="preserve"> No numbers needed at this level</t>
    </r>
  </si>
  <si>
    <t>Current (reference only)</t>
  </si>
  <si>
    <t>RISK TRACKER</t>
  </si>
  <si>
    <t>NOTE: Owned by is "B" - BOARD only, "B-A" - Board goals cascaded to Aligners. "A" - Aligners only. "A-F" - Aligner goals cascaded to Functional Teams</t>
  </si>
  <si>
    <t xml:space="preserve">Issue / Risk </t>
  </si>
  <si>
    <t>IMPACT
( Scale 1 - 10)</t>
  </si>
  <si>
    <t>PROBABILITY
(Scale 1 - 10)</t>
  </si>
  <si>
    <t>RISK FACTOR
(Impact x Probability)</t>
  </si>
  <si>
    <t>Owned By
(B / B-A / A / A-F)</t>
  </si>
  <si>
    <t>Cause and Consequence</t>
  </si>
  <si>
    <t>Mitigation Plan</t>
  </si>
  <si>
    <t>Responsibility</t>
  </si>
  <si>
    <t>Remarks</t>
  </si>
  <si>
    <t>ORGANIZATION STRUCTURE - SENIOR LEADERSHIP</t>
  </si>
  <si>
    <t>Shareholder Roles Clarity / Alignment</t>
  </si>
  <si>
    <t>Functions critical to achieving your plan?</t>
  </si>
  <si>
    <t>Senior Leadership Teams Segmentation:</t>
  </si>
  <si>
    <t>POTENTIAL</t>
  </si>
  <si>
    <t>H</t>
  </si>
  <si>
    <t>L</t>
  </si>
  <si>
    <t>P E R F O R M A N C E</t>
  </si>
  <si>
    <t>Which positions do you need Lateral Hires?</t>
  </si>
  <si>
    <t>Key policies to enable alignment</t>
  </si>
  <si>
    <t>Promote / Reward - (H-H)</t>
  </si>
  <si>
    <t>Invest / Track (H-L)</t>
  </si>
  <si>
    <t>Retain / Compensate (L-H)</t>
  </si>
  <si>
    <t>Manage / Divest (L - L)</t>
  </si>
  <si>
    <t>FINANCIAL PERFORMANCE INDICATORS</t>
  </si>
  <si>
    <t>Main Head</t>
  </si>
  <si>
    <t>Sub-head</t>
  </si>
  <si>
    <t>1-year Goals</t>
  </si>
  <si>
    <t>Q1 Goal</t>
  </si>
  <si>
    <t>Q2 Goal</t>
  </si>
  <si>
    <t>Q3 Goal</t>
  </si>
  <si>
    <t>Q4 Goal</t>
  </si>
  <si>
    <t>Explanation</t>
  </si>
  <si>
    <t>Domestic</t>
  </si>
  <si>
    <t>Exports</t>
  </si>
  <si>
    <t>Services</t>
  </si>
  <si>
    <t>Total Revenue</t>
  </si>
  <si>
    <t>Materials</t>
  </si>
  <si>
    <t>Sub-contract</t>
  </si>
  <si>
    <t>Other Variable</t>
  </si>
  <si>
    <t>Total COGS</t>
  </si>
  <si>
    <t>Salaries</t>
  </si>
  <si>
    <t>Power</t>
  </si>
  <si>
    <t>Other Opex</t>
  </si>
  <si>
    <t>Total Opex</t>
  </si>
  <si>
    <t>Other Expenses</t>
  </si>
  <si>
    <t>Depreciation</t>
  </si>
  <si>
    <t>Interest</t>
  </si>
  <si>
    <t>Total Other Expenses</t>
  </si>
  <si>
    <t>Taxes</t>
  </si>
  <si>
    <t>GOAL &amp; PROGRESS INDICATORS</t>
  </si>
  <si>
    <t>Goal &amp; Progress Indicators</t>
  </si>
  <si>
    <t>Indicator Type (Goal / Progress)</t>
  </si>
  <si>
    <t>Tracking Type (Weekly / Monthly)</t>
  </si>
  <si>
    <t>1-Year Goals</t>
  </si>
  <si>
    <t>Consider metrics from that have to be done by the Owner and report to the Board:</t>
  </si>
  <si>
    <t>SWOT</t>
  </si>
  <si>
    <t>Annual Goals</t>
  </si>
  <si>
    <t>Owner Biz Goals (Milestones)</t>
  </si>
  <si>
    <t>Sales Segmentation Goals</t>
  </si>
  <si>
    <t>Risk Tracker (Mitigation Plan)</t>
  </si>
  <si>
    <t>Organization Structure</t>
  </si>
  <si>
    <t>PROJECT PERFORMANCE INDICATORS</t>
  </si>
  <si>
    <t>Project Name</t>
  </si>
  <si>
    <t>Consider Actions from that have to be done by the Owner and report to the Board:</t>
  </si>
  <si>
    <t>OWNERS TIME PRIORITIES</t>
  </si>
  <si>
    <t>Priorities</t>
  </si>
  <si>
    <t>% Time</t>
  </si>
  <si>
    <t>Time Block</t>
  </si>
  <si>
    <t>Directional Activities / Notes</t>
  </si>
  <si>
    <t>CONSISTENTCY CHECK FOR ACHIEVING OWNER GOALS</t>
  </si>
  <si>
    <t>Strategic Time Out</t>
  </si>
  <si>
    <t xml:space="preserve">1. Does our biz serve an ever expanding number of clients? 
</t>
  </si>
  <si>
    <t>Me Time</t>
  </si>
  <si>
    <t>2. Are we ensuring our priority and performance to focus on profits while delivering value?</t>
  </si>
  <si>
    <t>Lead Projects</t>
  </si>
  <si>
    <t>3. Are we saving an ever increasing portion of our profits?</t>
  </si>
  <si>
    <t>Support Projects</t>
  </si>
  <si>
    <t>4. Are we investing an ever increasing portion of our saved profits into avenues that offer increasing levels of risk and reward?</t>
  </si>
  <si>
    <t>Reviews</t>
  </si>
  <si>
    <t>5. Are we ensuring we pay ourselves first, in order to build ever increasing personal and biz value?</t>
  </si>
  <si>
    <t>Buffer</t>
  </si>
  <si>
    <t>6. Are we ensuring our stakeholder and family alignment with our priorities?</t>
  </si>
  <si>
    <t>Others</t>
  </si>
  <si>
    <t>6. Are we planning to support a philanthropic / personal vision cause that supports a legacy?</t>
  </si>
  <si>
    <t>STAR MOMENTS - ANNUAL PERSONAL and BIZ</t>
  </si>
  <si>
    <t>Focus</t>
  </si>
  <si>
    <t>Star Moments</t>
  </si>
  <si>
    <t>Due Date</t>
  </si>
  <si>
    <t>Rewards
(Self, Family, Stakeholders)</t>
  </si>
  <si>
    <t>BUSINESS</t>
  </si>
  <si>
    <t>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</si>
</sst>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mmmm\ d"/>
  </numFmts>
  <fonts count="27">
    <font>
      <sz val="11"/>
      <color theme="1"/>
      <name val="Calibri"/>
      <family val="2"/>
      <scheme val="minor"/>
    </font>
    <font>
      <sz val="12"/>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b/>
      <u/>
      <sz val="18"/>
      <color theme="4" tint="-0.249977111117893"/>
      <name val="Calibri"/>
      <family val="2"/>
      <scheme val="minor"/>
    </font>
    <font>
      <b/>
      <u/>
      <sz val="20"/>
      <color theme="4" tint="-0.249977111117893"/>
      <name val="Calibri"/>
      <family val="2"/>
      <scheme val="minor"/>
    </font>
    <font>
      <sz val="8"/>
      <color theme="1"/>
      <name val="Calibri"/>
      <family val="2"/>
      <scheme val="minor"/>
    </font>
    <font>
      <sz val="11"/>
      <color theme="1"/>
      <name val="Calibri"/>
      <family val="2"/>
    </font>
    <font>
      <sz val="11"/>
      <color rgb="FF000000"/>
      <name val="Calibri"/>
      <family val="2"/>
      <scheme val="minor"/>
    </font>
    <font>
      <b/>
      <u/>
      <sz val="14"/>
      <color theme="1"/>
      <name val="Calibri"/>
      <family val="2"/>
      <scheme val="minor"/>
    </font>
    <font>
      <u/>
      <sz val="11"/>
      <color theme="1"/>
      <name val="Calibri"/>
      <family val="2"/>
      <scheme val="minor"/>
    </font>
    <font>
      <b/>
      <u/>
      <sz val="12"/>
      <color theme="1"/>
      <name val="Calibri"/>
      <family val="2"/>
      <scheme val="minor"/>
    </font>
    <font>
      <b/>
      <sz val="14"/>
      <color theme="1"/>
      <name val="Calibri"/>
      <family val="2"/>
      <scheme val="minor"/>
    </font>
    <font>
      <b/>
      <sz val="16"/>
      <color theme="1"/>
      <name val="Calibri"/>
      <family val="2"/>
      <scheme val="minor"/>
    </font>
    <font>
      <b/>
      <sz val="12"/>
      <color theme="1"/>
      <name val="Arial"/>
      <family val="2"/>
    </font>
    <font>
      <b/>
      <sz val="14"/>
      <color rgb="FF000000"/>
      <name val="Calibri"/>
      <family val="2"/>
      <scheme val="minor"/>
    </font>
    <font>
      <sz val="14"/>
      <color rgb="FF000000"/>
      <name val="Calibri"/>
      <family val="2"/>
      <scheme val="minor"/>
    </font>
    <font>
      <b/>
      <sz val="20"/>
      <color theme="0"/>
      <name val="Calibri"/>
      <family val="2"/>
      <scheme val="minor"/>
    </font>
    <font>
      <b/>
      <sz val="16"/>
      <color rgb="FF7030A0"/>
      <name val="Calibri"/>
      <family val="2"/>
      <scheme val="minor"/>
    </font>
    <font>
      <b/>
      <sz val="16"/>
      <color rgb="FFC00000"/>
      <name val="Calibri"/>
      <family val="2"/>
      <scheme val="minor"/>
    </font>
    <font>
      <b/>
      <sz val="12"/>
      <color theme="1"/>
      <name val="Calibri"/>
      <family val="2"/>
      <scheme val="minor"/>
    </font>
    <font>
      <b/>
      <u/>
      <sz val="12"/>
      <color theme="1"/>
      <name val="Calibri (Body)"/>
    </font>
    <font>
      <b/>
      <sz val="18"/>
      <color theme="0"/>
      <name val="Calibri"/>
      <family val="2"/>
      <scheme val="minor"/>
    </font>
    <font>
      <b/>
      <sz val="11"/>
      <color theme="0"/>
      <name val="Calibri"/>
      <family val="2"/>
      <scheme val="minor"/>
    </font>
    <font>
      <sz val="11"/>
      <name val="Calibri"/>
      <family val="2"/>
      <scheme val="minor"/>
    </font>
    <font>
      <sz val="9"/>
      <color theme="1"/>
      <name val="Calibri"/>
      <family val="2"/>
      <scheme val="minor"/>
    </font>
  </fonts>
  <fills count="19">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CE4D6"/>
        <bgColor indexed="64"/>
      </patternFill>
    </fill>
    <fill>
      <patternFill patternType="solid">
        <fgColor rgb="FFE2EFDA"/>
        <bgColor indexed="64"/>
      </patternFill>
    </fill>
    <fill>
      <patternFill patternType="solid">
        <fgColor rgb="FFE2EFDA"/>
        <bgColor rgb="FFC9DAF8"/>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164" fontId="4" fillId="0" borderId="0" applyFont="0" applyFill="0" applyBorder="0" applyAlignment="0" applyProtection="0"/>
    <xf numFmtId="9" fontId="4" fillId="0" borderId="0" applyFont="0" applyFill="0" applyBorder="0" applyAlignment="0" applyProtection="0"/>
    <xf numFmtId="0" fontId="9" fillId="0" borderId="0"/>
    <xf numFmtId="43" fontId="4" fillId="0" borderId="0" applyFont="0" applyFill="0" applyBorder="0" applyAlignment="0" applyProtection="0"/>
  </cellStyleXfs>
  <cellXfs count="207">
    <xf numFmtId="0" fontId="0" fillId="0" borderId="0" xfId="0"/>
    <xf numFmtId="0" fontId="0" fillId="0" borderId="0" xfId="0" applyAlignment="1">
      <alignment wrapText="1"/>
    </xf>
    <xf numFmtId="0" fontId="0" fillId="0" borderId="0" xfId="0" applyAlignment="1">
      <alignment vertical="center" wrapText="1"/>
    </xf>
    <xf numFmtId="0" fontId="2" fillId="3" borderId="1" xfId="0" applyFont="1" applyFill="1" applyBorder="1" applyAlignment="1">
      <alignment horizontal="center" vertical="center" wrapText="1"/>
    </xf>
    <xf numFmtId="0" fontId="5" fillId="0" borderId="0" xfId="0" applyFont="1" applyAlignment="1">
      <alignment vertical="center" wrapText="1"/>
    </xf>
    <xf numFmtId="164" fontId="0" fillId="0" borderId="1" xfId="1" applyFont="1" applyBorder="1"/>
    <xf numFmtId="10" fontId="0" fillId="0" borderId="1" xfId="2" applyNumberFormat="1" applyFont="1" applyBorder="1"/>
    <xf numFmtId="0" fontId="0" fillId="0" borderId="1" xfId="0" applyBorder="1"/>
    <xf numFmtId="0" fontId="2" fillId="0" borderId="1" xfId="0" applyFont="1" applyBorder="1" applyAlignment="1">
      <alignment horizontal="left" wrapText="1"/>
    </xf>
    <xf numFmtId="0" fontId="2" fillId="3" borderId="1" xfId="0" applyFont="1" applyFill="1" applyBorder="1" applyAlignment="1">
      <alignment horizontal="left" wrapText="1"/>
    </xf>
    <xf numFmtId="9" fontId="0" fillId="0" borderId="0" xfId="0" applyNumberFormat="1"/>
    <xf numFmtId="0" fontId="7" fillId="0" borderId="0" xfId="0" applyFont="1" applyAlignment="1">
      <alignment vertical="center" wrapText="1"/>
    </xf>
    <xf numFmtId="0" fontId="7" fillId="0" borderId="1" xfId="0" applyFont="1" applyBorder="1" applyAlignment="1">
      <alignment horizontal="center" vertical="center" wrapText="1"/>
    </xf>
    <xf numFmtId="0" fontId="3" fillId="0" borderId="0" xfId="0" applyFont="1"/>
    <xf numFmtId="0" fontId="2" fillId="5" borderId="1" xfId="0" applyFont="1" applyFill="1" applyBorder="1" applyAlignment="1">
      <alignment horizontal="center" vertical="center" wrapText="1"/>
    </xf>
    <xf numFmtId="0" fontId="2" fillId="0" borderId="1" xfId="0" applyFont="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8" fillId="0" borderId="0" xfId="3" applyFont="1" applyAlignment="1">
      <alignment wrapText="1"/>
    </xf>
    <xf numFmtId="0" fontId="9" fillId="0" borderId="0" xfId="3"/>
    <xf numFmtId="0" fontId="8" fillId="0" borderId="0" xfId="3" applyFont="1"/>
    <xf numFmtId="165" fontId="8" fillId="0" borderId="0" xfId="3" applyNumberFormat="1" applyFont="1"/>
    <xf numFmtId="17" fontId="9" fillId="0" borderId="0" xfId="3" applyNumberFormat="1"/>
    <xf numFmtId="0" fontId="6" fillId="0" borderId="0" xfId="0" applyFont="1" applyAlignment="1">
      <alignment horizontal="center" vertical="center"/>
    </xf>
    <xf numFmtId="0" fontId="10" fillId="0" borderId="0" xfId="0" applyFont="1" applyAlignment="1">
      <alignment horizontal="left"/>
    </xf>
    <xf numFmtId="0" fontId="11" fillId="0" borderId="0" xfId="0" applyFont="1"/>
    <xf numFmtId="0" fontId="2" fillId="0" borderId="0" xfId="0" applyFont="1"/>
    <xf numFmtId="0" fontId="0" fillId="4" borderId="1" xfId="0" applyFill="1" applyBorder="1"/>
    <xf numFmtId="9" fontId="0" fillId="4" borderId="1" xfId="0" applyNumberFormat="1" applyFill="1" applyBorder="1"/>
    <xf numFmtId="17" fontId="0" fillId="4" borderId="1" xfId="0" applyNumberFormat="1" applyFill="1" applyBorder="1"/>
    <xf numFmtId="0" fontId="0" fillId="0" borderId="0" xfId="0" applyAlignment="1">
      <alignment horizontal="left"/>
    </xf>
    <xf numFmtId="0" fontId="3" fillId="0" borderId="0" xfId="0" applyFont="1" applyAlignment="1">
      <alignment horizontal="center"/>
    </xf>
    <xf numFmtId="0" fontId="13" fillId="0" borderId="0" xfId="0" applyFont="1"/>
    <xf numFmtId="0" fontId="15" fillId="0" borderId="0" xfId="0" applyFont="1" applyAlignment="1">
      <alignment vertical="center"/>
    </xf>
    <xf numFmtId="0" fontId="17" fillId="0" borderId="0" xfId="3" applyFont="1"/>
    <xf numFmtId="0" fontId="0" fillId="0" borderId="0" xfId="0" applyAlignment="1">
      <alignment horizontal="center"/>
    </xf>
    <xf numFmtId="0" fontId="15" fillId="0" borderId="0" xfId="0" applyFont="1" applyAlignment="1">
      <alignment horizontal="center" vertical="center"/>
    </xf>
    <xf numFmtId="0" fontId="3" fillId="0" borderId="1" xfId="0" applyFont="1" applyBorder="1" applyAlignment="1">
      <alignment wrapText="1"/>
    </xf>
    <xf numFmtId="0" fontId="2" fillId="0" borderId="1" xfId="0" applyFont="1" applyBorder="1" applyAlignment="1">
      <alignment wrapText="1"/>
    </xf>
    <xf numFmtId="164" fontId="0" fillId="0" borderId="1" xfId="1" applyFont="1" applyFill="1" applyBorder="1"/>
    <xf numFmtId="0" fontId="7" fillId="0" borderId="1" xfId="0" applyFont="1" applyBorder="1" applyAlignment="1">
      <alignment vertical="center" wrapText="1"/>
    </xf>
    <xf numFmtId="164" fontId="0" fillId="0" borderId="0" xfId="0" applyNumberFormat="1"/>
    <xf numFmtId="164" fontId="0" fillId="0" borderId="0" xfId="0" applyNumberFormat="1" applyAlignment="1">
      <alignment horizontal="center"/>
    </xf>
    <xf numFmtId="0" fontId="2" fillId="0" borderId="0" xfId="0" applyFont="1" applyAlignment="1">
      <alignment horizontal="left" wrapText="1"/>
    </xf>
    <xf numFmtId="164" fontId="0" fillId="0" borderId="1" xfId="1" applyFont="1" applyFill="1" applyBorder="1" applyAlignment="1">
      <alignment horizontal="center"/>
    </xf>
    <xf numFmtId="0" fontId="2" fillId="3" borderId="15" xfId="0" applyFont="1" applyFill="1" applyBorder="1" applyAlignment="1">
      <alignment horizontal="left" wrapText="1"/>
    </xf>
    <xf numFmtId="10" fontId="25" fillId="0" borderId="1" xfId="2" applyNumberFormat="1" applyFont="1" applyFill="1" applyBorder="1"/>
    <xf numFmtId="164" fontId="0" fillId="0" borderId="1" xfId="2" applyNumberFormat="1" applyFont="1" applyBorder="1"/>
    <xf numFmtId="10" fontId="0" fillId="6" borderId="1" xfId="2" applyNumberFormat="1" applyFont="1" applyFill="1" applyBorder="1"/>
    <xf numFmtId="0" fontId="2" fillId="13" borderId="1" xfId="0" applyFont="1" applyFill="1" applyBorder="1" applyAlignment="1">
      <alignment horizontal="left" wrapText="1"/>
    </xf>
    <xf numFmtId="164" fontId="2" fillId="0" borderId="1" xfId="1" applyFont="1" applyBorder="1"/>
    <xf numFmtId="0" fontId="2" fillId="0" borderId="0" xfId="0" applyFont="1" applyAlignment="1">
      <alignment horizontal="center"/>
    </xf>
    <xf numFmtId="164" fontId="2" fillId="0" borderId="1" xfId="1" applyFont="1" applyFill="1" applyBorder="1"/>
    <xf numFmtId="164" fontId="4" fillId="0" borderId="1" xfId="1" applyFont="1" applyFill="1" applyBorder="1"/>
    <xf numFmtId="164" fontId="4" fillId="0" borderId="1" xfId="2" applyNumberFormat="1" applyFont="1" applyBorder="1"/>
    <xf numFmtId="0" fontId="21" fillId="10" borderId="1" xfId="0" applyFont="1" applyFill="1" applyBorder="1" applyAlignment="1">
      <alignment horizontal="center"/>
    </xf>
    <xf numFmtId="0" fontId="2" fillId="10" borderId="1" xfId="0" applyFont="1" applyFill="1" applyBorder="1" applyAlignment="1">
      <alignment horizontal="center"/>
    </xf>
    <xf numFmtId="0" fontId="3" fillId="0" borderId="0" xfId="0" applyFont="1" applyAlignment="1">
      <alignment wrapText="1"/>
    </xf>
    <xf numFmtId="0" fontId="2" fillId="10" borderId="1" xfId="0" applyFont="1" applyFill="1" applyBorder="1" applyAlignment="1">
      <alignment horizontal="center" wrapText="1"/>
    </xf>
    <xf numFmtId="0" fontId="2" fillId="10" borderId="15" xfId="0" applyFont="1" applyFill="1" applyBorder="1" applyAlignment="1">
      <alignment horizontal="center"/>
    </xf>
    <xf numFmtId="0" fontId="0" fillId="4" borderId="1" xfId="0" applyFill="1" applyBorder="1" applyAlignment="1">
      <alignment horizontal="center"/>
    </xf>
    <xf numFmtId="0" fontId="1" fillId="4" borderId="1" xfId="0" applyFont="1" applyFill="1" applyBorder="1" applyAlignment="1">
      <alignment horizontal="left"/>
    </xf>
    <xf numFmtId="0" fontId="2" fillId="0" borderId="0" xfId="0" applyFont="1" applyAlignment="1">
      <alignment vertical="center"/>
    </xf>
    <xf numFmtId="0" fontId="2" fillId="0" borderId="0" xfId="0" applyFont="1" applyAlignment="1">
      <alignment horizontal="left" vertical="center"/>
    </xf>
    <xf numFmtId="0" fontId="0" fillId="4" borderId="15" xfId="0" applyFill="1" applyBorder="1"/>
    <xf numFmtId="0" fontId="2" fillId="4" borderId="1" xfId="0" applyFont="1" applyFill="1" applyBorder="1"/>
    <xf numFmtId="0" fontId="2" fillId="4" borderId="1" xfId="0" applyFont="1" applyFill="1" applyBorder="1" applyAlignment="1">
      <alignment horizontal="center"/>
    </xf>
    <xf numFmtId="0" fontId="0" fillId="0" borderId="0" xfId="0" applyAlignment="1">
      <alignment vertical="center"/>
    </xf>
    <xf numFmtId="0" fontId="0" fillId="16" borderId="1" xfId="0" applyFill="1" applyBorder="1"/>
    <xf numFmtId="0" fontId="0" fillId="16" borderId="0" xfId="0" applyFill="1"/>
    <xf numFmtId="0" fontId="2" fillId="17" borderId="1" xfId="0" applyFont="1" applyFill="1" applyBorder="1" applyAlignment="1">
      <alignment horizontal="center"/>
    </xf>
    <xf numFmtId="0" fontId="2" fillId="17" borderId="1" xfId="0" applyFont="1" applyFill="1" applyBorder="1" applyAlignment="1">
      <alignment horizontal="center" vertical="center"/>
    </xf>
    <xf numFmtId="0" fontId="2" fillId="17" borderId="1" xfId="0" applyFont="1" applyFill="1" applyBorder="1" applyAlignment="1">
      <alignment horizontal="center" vertical="center" wrapText="1"/>
    </xf>
    <xf numFmtId="0" fontId="16" fillId="18" borderId="1" xfId="3" applyFont="1" applyFill="1" applyBorder="1" applyAlignment="1">
      <alignment horizontal="center" vertical="center" wrapText="1"/>
    </xf>
    <xf numFmtId="0" fontId="8" fillId="16" borderId="1" xfId="3" applyFont="1" applyFill="1" applyBorder="1"/>
    <xf numFmtId="165" fontId="8" fillId="16" borderId="1" xfId="3" applyNumberFormat="1" applyFont="1" applyFill="1" applyBorder="1"/>
    <xf numFmtId="0" fontId="9" fillId="16" borderId="1" xfId="3" applyFill="1" applyBorder="1"/>
    <xf numFmtId="0" fontId="2" fillId="17" borderId="1" xfId="0" applyFont="1" applyFill="1" applyBorder="1" applyAlignment="1">
      <alignment horizontal="left"/>
    </xf>
    <xf numFmtId="0" fontId="3" fillId="16" borderId="1" xfId="0" applyFont="1" applyFill="1" applyBorder="1" applyAlignment="1">
      <alignment vertical="center" wrapText="1"/>
    </xf>
    <xf numFmtId="0" fontId="0" fillId="16" borderId="1" xfId="0" applyFill="1" applyBorder="1" applyAlignment="1">
      <alignment vertical="center"/>
    </xf>
    <xf numFmtId="0" fontId="0" fillId="16" borderId="1" xfId="0" applyFill="1" applyBorder="1" applyAlignment="1">
      <alignment vertical="center" wrapText="1"/>
    </xf>
    <xf numFmtId="0" fontId="2" fillId="0" borderId="9" xfId="0" applyFont="1" applyBorder="1"/>
    <xf numFmtId="0" fontId="0" fillId="0" borderId="10" xfId="0" applyBorder="1" applyAlignment="1">
      <alignment vertical="center"/>
    </xf>
    <xf numFmtId="0" fontId="0" fillId="0" borderId="11" xfId="0" applyBorder="1" applyAlignment="1">
      <alignment vertical="center"/>
    </xf>
    <xf numFmtId="0" fontId="0" fillId="0" borderId="20" xfId="0" applyBorder="1" applyAlignment="1">
      <alignment horizontal="left"/>
    </xf>
    <xf numFmtId="0" fontId="0" fillId="0" borderId="21" xfId="0" applyBorder="1" applyAlignment="1">
      <alignment vertical="center"/>
    </xf>
    <xf numFmtId="0" fontId="0" fillId="0" borderId="12" xfId="0" applyBorder="1" applyAlignment="1">
      <alignment horizontal="left"/>
    </xf>
    <xf numFmtId="0" fontId="0" fillId="0" borderId="8" xfId="0" applyBorder="1" applyAlignment="1">
      <alignment vertical="center"/>
    </xf>
    <xf numFmtId="0" fontId="0" fillId="0" borderId="13" xfId="0" applyBorder="1" applyAlignment="1">
      <alignment vertical="center"/>
    </xf>
    <xf numFmtId="0" fontId="0" fillId="0" borderId="10" xfId="0" applyBorder="1"/>
    <xf numFmtId="0" fontId="0" fillId="0" borderId="11" xfId="0" applyBorder="1"/>
    <xf numFmtId="0" fontId="0" fillId="0" borderId="21" xfId="0" applyBorder="1"/>
    <xf numFmtId="0" fontId="0" fillId="0" borderId="8" xfId="0" applyBorder="1"/>
    <xf numFmtId="0" fontId="0" fillId="0" borderId="13" xfId="0" applyBorder="1"/>
    <xf numFmtId="0" fontId="1" fillId="0" borderId="15" xfId="0" applyFont="1" applyBorder="1"/>
    <xf numFmtId="0" fontId="23" fillId="0" borderId="0" xfId="0" applyFont="1" applyAlignment="1">
      <alignment vertical="center"/>
    </xf>
    <xf numFmtId="0" fontId="8" fillId="16" borderId="1" xfId="3" applyFont="1" applyFill="1" applyBorder="1" applyAlignment="1">
      <alignment wrapText="1"/>
    </xf>
    <xf numFmtId="164" fontId="0" fillId="16" borderId="1" xfId="1" applyFont="1" applyFill="1" applyBorder="1"/>
    <xf numFmtId="10" fontId="0" fillId="16" borderId="1" xfId="2" applyNumberFormat="1" applyFont="1" applyFill="1" applyBorder="1"/>
    <xf numFmtId="0" fontId="2" fillId="16" borderId="1" xfId="0" applyFont="1" applyFill="1" applyBorder="1"/>
    <xf numFmtId="0" fontId="2" fillId="16" borderId="1" xfId="0" applyFont="1" applyFill="1" applyBorder="1" applyAlignment="1">
      <alignment horizontal="center"/>
    </xf>
    <xf numFmtId="0" fontId="12" fillId="7" borderId="0" xfId="0" applyFont="1" applyFill="1" applyAlignment="1">
      <alignment horizontal="center" vertical="center"/>
    </xf>
    <xf numFmtId="0" fontId="23" fillId="6" borderId="15" xfId="0" applyFont="1" applyFill="1" applyBorder="1" applyAlignment="1">
      <alignment horizontal="center" vertical="center"/>
    </xf>
    <xf numFmtId="0" fontId="23" fillId="6" borderId="19" xfId="0" applyFont="1" applyFill="1" applyBorder="1" applyAlignment="1">
      <alignment horizontal="center" vertical="center"/>
    </xf>
    <xf numFmtId="0" fontId="23" fillId="6" borderId="16" xfId="0" applyFont="1" applyFill="1" applyBorder="1" applyAlignment="1">
      <alignment horizontal="center" vertical="center"/>
    </xf>
    <xf numFmtId="0" fontId="21" fillId="17" borderId="1" xfId="0" applyFont="1" applyFill="1" applyBorder="1" applyAlignment="1">
      <alignment horizontal="center"/>
    </xf>
    <xf numFmtId="0" fontId="0" fillId="16" borderId="1" xfId="0" applyFill="1" applyBorder="1" applyAlignment="1">
      <alignment horizontal="center"/>
    </xf>
    <xf numFmtId="0" fontId="2" fillId="17" borderId="17" xfId="0" applyFont="1" applyFill="1" applyBorder="1" applyAlignment="1">
      <alignment horizontal="center" vertical="center"/>
    </xf>
    <xf numFmtId="0" fontId="2" fillId="17" borderId="18" xfId="0" applyFont="1" applyFill="1" applyBorder="1" applyAlignment="1">
      <alignment horizontal="center" vertical="center"/>
    </xf>
    <xf numFmtId="0" fontId="2" fillId="17" borderId="14" xfId="0" applyFont="1" applyFill="1" applyBorder="1" applyAlignment="1">
      <alignment horizontal="center" vertical="center"/>
    </xf>
    <xf numFmtId="0" fontId="3" fillId="0" borderId="0" xfId="0" applyFont="1" applyAlignment="1">
      <alignment horizontal="left" vertical="center" wrapText="1"/>
    </xf>
    <xf numFmtId="0" fontId="0" fillId="0" borderId="0" xfId="0" applyAlignment="1">
      <alignment horizontal="left" vertical="center" wrapText="1"/>
    </xf>
    <xf numFmtId="0" fontId="3" fillId="10" borderId="1" xfId="0" applyFont="1" applyFill="1" applyBorder="1" applyAlignment="1">
      <alignment horizontal="center" vertical="center"/>
    </xf>
    <xf numFmtId="0" fontId="2" fillId="4" borderId="1" xfId="0" applyFont="1" applyFill="1" applyBorder="1" applyAlignment="1">
      <alignment horizontal="center" wrapText="1"/>
    </xf>
    <xf numFmtId="0" fontId="0" fillId="4" borderId="15" xfId="0" applyFill="1" applyBorder="1" applyAlignment="1">
      <alignment horizontal="center"/>
    </xf>
    <xf numFmtId="0" fontId="0" fillId="4" borderId="19" xfId="0" applyFill="1" applyBorder="1" applyAlignment="1">
      <alignment horizontal="center"/>
    </xf>
    <xf numFmtId="0" fontId="0" fillId="4" borderId="16" xfId="0" applyFill="1" applyBorder="1" applyAlignment="1">
      <alignment horizont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4" xfId="0" applyBorder="1" applyAlignment="1">
      <alignment horizontal="left" vertical="center" wrapText="1"/>
    </xf>
    <xf numFmtId="0" fontId="21" fillId="10" borderId="15" xfId="0" applyFont="1" applyFill="1" applyBorder="1" applyAlignment="1">
      <alignment horizontal="center"/>
    </xf>
    <xf numFmtId="0" fontId="21" fillId="10" borderId="19" xfId="0" applyFont="1" applyFill="1" applyBorder="1" applyAlignment="1">
      <alignment horizontal="center"/>
    </xf>
    <xf numFmtId="0" fontId="21" fillId="10" borderId="16" xfId="0" applyFont="1" applyFill="1" applyBorder="1" applyAlignment="1">
      <alignment horizontal="center"/>
    </xf>
    <xf numFmtId="0" fontId="1" fillId="4" borderId="15" xfId="0" applyFont="1" applyFill="1" applyBorder="1" applyAlignment="1">
      <alignment horizontal="center"/>
    </xf>
    <xf numFmtId="0" fontId="1" fillId="4" borderId="19" xfId="0" applyFont="1" applyFill="1" applyBorder="1" applyAlignment="1">
      <alignment horizontal="center"/>
    </xf>
    <xf numFmtId="0" fontId="1" fillId="4" borderId="16" xfId="0" applyFont="1" applyFill="1" applyBorder="1" applyAlignment="1">
      <alignment horizontal="center"/>
    </xf>
    <xf numFmtId="0" fontId="2" fillId="10" borderId="15" xfId="0" applyFont="1" applyFill="1" applyBorder="1" applyAlignment="1">
      <alignment horizontal="center"/>
    </xf>
    <xf numFmtId="0" fontId="2" fillId="10" borderId="19" xfId="0" applyFont="1" applyFill="1" applyBorder="1" applyAlignment="1">
      <alignment horizontal="center"/>
    </xf>
    <xf numFmtId="0" fontId="2" fillId="10" borderId="16" xfId="0" applyFont="1" applyFill="1" applyBorder="1" applyAlignment="1">
      <alignment horizontal="center"/>
    </xf>
    <xf numFmtId="0" fontId="2" fillId="4" borderId="15" xfId="0" applyFont="1" applyFill="1" applyBorder="1" applyAlignment="1">
      <alignment horizontal="center"/>
    </xf>
    <xf numFmtId="0" fontId="2" fillId="4" borderId="19" xfId="0" applyFont="1" applyFill="1" applyBorder="1" applyAlignment="1">
      <alignment horizontal="center"/>
    </xf>
    <xf numFmtId="0" fontId="2" fillId="4" borderId="16" xfId="0" applyFont="1" applyFill="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13" fillId="14" borderId="1" xfId="0" applyFont="1" applyFill="1" applyBorder="1" applyAlignment="1">
      <alignment horizontal="center"/>
    </xf>
    <xf numFmtId="0" fontId="13" fillId="2" borderId="1" xfId="0" applyFont="1" applyFill="1" applyBorder="1" applyAlignment="1">
      <alignment horizontal="center"/>
    </xf>
    <xf numFmtId="0" fontId="13" fillId="10" borderId="1" xfId="0" applyFont="1" applyFill="1" applyBorder="1" applyAlignment="1">
      <alignment horizontal="center"/>
    </xf>
    <xf numFmtId="0" fontId="13" fillId="15" borderId="1" xfId="0" applyFont="1" applyFill="1" applyBorder="1" applyAlignment="1">
      <alignment horizontal="center"/>
    </xf>
    <xf numFmtId="0" fontId="23" fillId="6" borderId="1" xfId="0" applyFont="1" applyFill="1" applyBorder="1" applyAlignment="1">
      <alignment horizontal="center" vertical="center"/>
    </xf>
    <xf numFmtId="0" fontId="11" fillId="0" borderId="0" xfId="0" applyFont="1" applyAlignment="1">
      <alignment horizontal="center"/>
    </xf>
    <xf numFmtId="0" fontId="0" fillId="4" borderId="1" xfId="0" applyFill="1" applyBorder="1" applyAlignment="1">
      <alignment horizontal="left"/>
    </xf>
    <xf numFmtId="0" fontId="0" fillId="4" borderId="1" xfId="0" applyFill="1" applyBorder="1" applyAlignment="1">
      <alignment horizontal="center"/>
    </xf>
    <xf numFmtId="0" fontId="21" fillId="14" borderId="15" xfId="0" applyFont="1" applyFill="1" applyBorder="1" applyAlignment="1">
      <alignment horizontal="left" wrapText="1"/>
    </xf>
    <xf numFmtId="0" fontId="21" fillId="14" borderId="19" xfId="0" applyFont="1" applyFill="1" applyBorder="1" applyAlignment="1">
      <alignment horizontal="left" wrapText="1"/>
    </xf>
    <xf numFmtId="0" fontId="21" fillId="14" borderId="16" xfId="0" applyFont="1" applyFill="1" applyBorder="1" applyAlignment="1">
      <alignment horizontal="left" wrapText="1"/>
    </xf>
    <xf numFmtId="0" fontId="21" fillId="10" borderId="15" xfId="0" applyFont="1" applyFill="1" applyBorder="1" applyAlignment="1">
      <alignment horizontal="left" wrapText="1"/>
    </xf>
    <xf numFmtId="0" fontId="21" fillId="10" borderId="19" xfId="0" applyFont="1" applyFill="1" applyBorder="1" applyAlignment="1">
      <alignment horizontal="left" wrapText="1"/>
    </xf>
    <xf numFmtId="0" fontId="21" fillId="10" borderId="16" xfId="0" applyFont="1" applyFill="1" applyBorder="1" applyAlignment="1">
      <alignment horizontal="left" wrapText="1"/>
    </xf>
    <xf numFmtId="0" fontId="21" fillId="4" borderId="0" xfId="0" applyFont="1" applyFill="1" applyAlignment="1">
      <alignment horizontal="left" vertical="center" wrapText="1"/>
    </xf>
    <xf numFmtId="0" fontId="23" fillId="6"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4" fillId="6" borderId="15" xfId="0" applyFont="1" applyFill="1" applyBorder="1" applyAlignment="1">
      <alignment horizontal="center" wrapText="1"/>
    </xf>
    <xf numFmtId="0" fontId="24" fillId="6" borderId="19" xfId="0" applyFont="1" applyFill="1" applyBorder="1" applyAlignment="1">
      <alignment horizontal="center" wrapText="1"/>
    </xf>
    <xf numFmtId="0" fontId="24" fillId="6" borderId="16" xfId="0" applyFont="1" applyFill="1" applyBorder="1" applyAlignment="1">
      <alignment horizontal="center" wrapText="1"/>
    </xf>
    <xf numFmtId="0" fontId="2" fillId="16" borderId="15" xfId="0" applyFont="1" applyFill="1" applyBorder="1" applyAlignment="1">
      <alignment horizontal="center"/>
    </xf>
    <xf numFmtId="0" fontId="2" fillId="16" borderId="19" xfId="0" applyFont="1" applyFill="1" applyBorder="1" applyAlignment="1">
      <alignment horizontal="center"/>
    </xf>
    <xf numFmtId="0" fontId="2" fillId="16" borderId="16" xfId="0" applyFont="1" applyFill="1" applyBorder="1" applyAlignment="1">
      <alignment horizontal="center"/>
    </xf>
    <xf numFmtId="0" fontId="23" fillId="6" borderId="20" xfId="0" applyFont="1" applyFill="1" applyBorder="1" applyAlignment="1">
      <alignment horizontal="center" vertical="center" wrapText="1"/>
    </xf>
    <xf numFmtId="0" fontId="23" fillId="6" borderId="0" xfId="0" applyFont="1" applyFill="1" applyAlignment="1">
      <alignment horizontal="center" vertical="center" wrapText="1"/>
    </xf>
    <xf numFmtId="0" fontId="18" fillId="6" borderId="1" xfId="0" applyFont="1" applyFill="1" applyBorder="1" applyAlignment="1">
      <alignment horizontal="center" vertical="center"/>
    </xf>
    <xf numFmtId="0" fontId="18" fillId="6" borderId="2" xfId="0" applyFont="1" applyFill="1" applyBorder="1" applyAlignment="1">
      <alignment horizontal="center" vertical="center"/>
    </xf>
    <xf numFmtId="0" fontId="18" fillId="6" borderId="3" xfId="0" applyFont="1" applyFill="1" applyBorder="1" applyAlignment="1">
      <alignment horizontal="center" vertical="center"/>
    </xf>
    <xf numFmtId="0" fontId="18" fillId="6" borderId="4" xfId="0" applyFont="1" applyFill="1" applyBorder="1" applyAlignment="1">
      <alignment horizontal="center" vertical="center"/>
    </xf>
    <xf numFmtId="0" fontId="18" fillId="6" borderId="5" xfId="0" applyFont="1" applyFill="1" applyBorder="1" applyAlignment="1">
      <alignment horizontal="center" vertical="center"/>
    </xf>
    <xf numFmtId="0" fontId="18" fillId="6" borderId="6" xfId="0" applyFont="1" applyFill="1" applyBorder="1" applyAlignment="1">
      <alignment horizontal="center" vertical="center"/>
    </xf>
    <xf numFmtId="0" fontId="18" fillId="6" borderId="7" xfId="0" applyFont="1" applyFill="1" applyBorder="1" applyAlignment="1">
      <alignment horizontal="center" vertical="center"/>
    </xf>
    <xf numFmtId="0" fontId="14" fillId="12" borderId="1" xfId="0" applyFont="1" applyFill="1" applyBorder="1" applyAlignment="1">
      <alignment horizontal="center" vertical="center" textRotation="255"/>
    </xf>
    <xf numFmtId="0" fontId="20" fillId="8" borderId="17" xfId="0" applyFont="1" applyFill="1" applyBorder="1" applyAlignment="1">
      <alignment horizontal="center" vertical="center" textRotation="255"/>
    </xf>
    <xf numFmtId="0" fontId="20" fillId="8" borderId="18" xfId="0" applyFont="1" applyFill="1" applyBorder="1" applyAlignment="1">
      <alignment horizontal="center" vertical="center" textRotation="255"/>
    </xf>
    <xf numFmtId="0" fontId="20" fillId="8" borderId="14" xfId="0" applyFont="1" applyFill="1" applyBorder="1" applyAlignment="1">
      <alignment horizontal="center" vertical="center" textRotation="255"/>
    </xf>
    <xf numFmtId="0" fontId="19" fillId="2" borderId="17" xfId="0" applyFont="1" applyFill="1" applyBorder="1" applyAlignment="1">
      <alignment horizontal="center" vertical="center" textRotation="255"/>
    </xf>
    <xf numFmtId="0" fontId="19" fillId="2" borderId="18" xfId="0" applyFont="1" applyFill="1" applyBorder="1" applyAlignment="1">
      <alignment horizontal="center" vertical="center" textRotation="255"/>
    </xf>
    <xf numFmtId="0" fontId="19" fillId="2" borderId="14" xfId="0" applyFont="1" applyFill="1" applyBorder="1" applyAlignment="1">
      <alignment horizontal="center" vertical="center" textRotation="255"/>
    </xf>
    <xf numFmtId="0" fontId="15" fillId="0" borderId="1" xfId="0" applyFont="1" applyBorder="1" applyAlignment="1">
      <alignment horizontal="left" vertical="center" wrapText="1"/>
    </xf>
    <xf numFmtId="0" fontId="15" fillId="16" borderId="9" xfId="0" applyFont="1" applyFill="1" applyBorder="1" applyAlignment="1">
      <alignment horizontal="center" vertical="center" wrapText="1"/>
    </xf>
    <xf numFmtId="0" fontId="15" fillId="16" borderId="10" xfId="0" applyFont="1" applyFill="1" applyBorder="1" applyAlignment="1">
      <alignment horizontal="center" vertical="center" wrapText="1"/>
    </xf>
    <xf numFmtId="0" fontId="15" fillId="16" borderId="11" xfId="0" applyFont="1" applyFill="1" applyBorder="1" applyAlignment="1">
      <alignment horizontal="center" vertical="center" wrapText="1"/>
    </xf>
    <xf numFmtId="0" fontId="15" fillId="16" borderId="12" xfId="0" applyFont="1" applyFill="1" applyBorder="1" applyAlignment="1">
      <alignment horizontal="center" vertical="center" wrapText="1"/>
    </xf>
    <xf numFmtId="0" fontId="15" fillId="16" borderId="8" xfId="0" applyFont="1" applyFill="1" applyBorder="1" applyAlignment="1">
      <alignment horizontal="center" vertical="center" wrapText="1"/>
    </xf>
    <xf numFmtId="0" fontId="15" fillId="16" borderId="13" xfId="0" applyFont="1" applyFill="1" applyBorder="1" applyAlignment="1">
      <alignment horizontal="center" vertical="center" wrapText="1"/>
    </xf>
    <xf numFmtId="0" fontId="15" fillId="16" borderId="9" xfId="0" applyFont="1" applyFill="1" applyBorder="1" applyAlignment="1">
      <alignment horizontal="center" vertical="center"/>
    </xf>
    <xf numFmtId="0" fontId="15" fillId="16" borderId="10" xfId="0" applyFont="1" applyFill="1" applyBorder="1" applyAlignment="1">
      <alignment horizontal="center" vertical="center"/>
    </xf>
    <xf numFmtId="0" fontId="15" fillId="16" borderId="11" xfId="0" applyFont="1" applyFill="1" applyBorder="1" applyAlignment="1">
      <alignment horizontal="center" vertical="center"/>
    </xf>
    <xf numFmtId="0" fontId="15" fillId="16" borderId="12" xfId="0" applyFont="1" applyFill="1" applyBorder="1" applyAlignment="1">
      <alignment horizontal="center" vertical="center"/>
    </xf>
    <xf numFmtId="0" fontId="15" fillId="16" borderId="8" xfId="0" applyFont="1" applyFill="1" applyBorder="1" applyAlignment="1">
      <alignment horizontal="center" vertical="center"/>
    </xf>
    <xf numFmtId="0" fontId="15" fillId="16" borderId="13" xfId="0" applyFont="1" applyFill="1" applyBorder="1" applyAlignment="1">
      <alignment horizontal="center" vertical="center"/>
    </xf>
    <xf numFmtId="0" fontId="14" fillId="11" borderId="15" xfId="0" applyFont="1" applyFill="1" applyBorder="1" applyAlignment="1">
      <alignment horizontal="center" vertical="center"/>
    </xf>
    <xf numFmtId="0" fontId="14" fillId="11" borderId="19" xfId="0" applyFont="1" applyFill="1" applyBorder="1" applyAlignment="1">
      <alignment horizontal="center" vertical="center"/>
    </xf>
    <xf numFmtId="0" fontId="14" fillId="11" borderId="16" xfId="0" applyFont="1" applyFill="1" applyBorder="1" applyAlignment="1">
      <alignment horizontal="center" vertical="center"/>
    </xf>
    <xf numFmtId="0" fontId="14" fillId="0" borderId="9" xfId="0" applyFont="1" applyBorder="1" applyAlignment="1">
      <alignment horizontal="center" textRotation="255"/>
    </xf>
    <xf numFmtId="0" fontId="14" fillId="0" borderId="11" xfId="0" applyFont="1" applyBorder="1" applyAlignment="1">
      <alignment horizontal="center" textRotation="255"/>
    </xf>
    <xf numFmtId="0" fontId="14" fillId="0" borderId="12" xfId="0" applyFont="1" applyBorder="1" applyAlignment="1">
      <alignment horizontal="center" textRotation="255"/>
    </xf>
    <xf numFmtId="0" fontId="14" fillId="0" borderId="13" xfId="0" applyFont="1" applyBorder="1" applyAlignment="1">
      <alignment horizontal="center" textRotation="255"/>
    </xf>
    <xf numFmtId="0" fontId="19" fillId="10" borderId="1" xfId="0" applyFont="1" applyFill="1" applyBorder="1" applyAlignment="1">
      <alignment horizontal="center"/>
    </xf>
    <xf numFmtId="0" fontId="14" fillId="9" borderId="1" xfId="0" applyFont="1" applyFill="1" applyBorder="1" applyAlignment="1">
      <alignment horizontal="center"/>
    </xf>
    <xf numFmtId="0" fontId="18" fillId="6" borderId="20" xfId="0" applyFont="1" applyFill="1" applyBorder="1" applyAlignment="1">
      <alignment horizontal="center" vertical="center"/>
    </xf>
    <xf numFmtId="0" fontId="18" fillId="6" borderId="0" xfId="0" applyFont="1" applyFill="1" applyAlignment="1">
      <alignment horizontal="center" vertical="center"/>
    </xf>
    <xf numFmtId="0" fontId="0" fillId="0" borderId="22" xfId="0" applyBorder="1" applyAlignment="1">
      <alignment horizontal="center" vertical="center"/>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left" vertical="center" wrapText="1"/>
    </xf>
    <xf numFmtId="0" fontId="0" fillId="0" borderId="13" xfId="0"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cellXfs>
  <cellStyles count="5">
    <cellStyle name="Comma" xfId="1" builtinId="3"/>
    <cellStyle name="Comma 2" xfId="4" xr:uid="{A7ADC8DB-B7E0-4342-A46F-7831FA49B023}"/>
    <cellStyle name="Normal" xfId="0" builtinId="0"/>
    <cellStyle name="Normal 2" xfId="3" xr:uid="{9B937FE4-0FA2-084A-9F9A-D2296E6D4A65}"/>
    <cellStyle name="Per cent" xfId="2" builtinId="5"/>
  </cellStyles>
  <dxfs count="0"/>
  <tableStyles count="0" defaultTableStyle="TableStyleMedium2" defaultPivotStyle="PivotStyleLight16"/>
  <colors>
    <mruColors>
      <color rgb="FFFCE4D6"/>
      <color rgb="FF9CCFF5"/>
      <color rgb="FFD6D6D6"/>
      <color rgb="FFF5B8A4"/>
      <color rgb="FFD9F2D0"/>
      <color rgb="FFE2EFDA"/>
      <color rgb="FFFFFF99"/>
      <color rgb="FF156082"/>
      <color rgb="FFFF9B9F"/>
      <color rgb="FFFDCC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1</xdr:row>
      <xdr:rowOff>10746</xdr:rowOff>
    </xdr:from>
    <xdr:to>
      <xdr:col>1</xdr:col>
      <xdr:colOff>644525</xdr:colOff>
      <xdr:row>1</xdr:row>
      <xdr:rowOff>523118</xdr:rowOff>
    </xdr:to>
    <xdr:pic>
      <xdr:nvPicPr>
        <xdr:cNvPr id="5" name="Picture 4">
          <a:extLst>
            <a:ext uri="{FF2B5EF4-FFF2-40B4-BE49-F238E27FC236}">
              <a16:creationId xmlns:a16="http://schemas.microsoft.com/office/drawing/2014/main" id="{27A03207-6258-43E7-89FC-02A9FC16A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01246"/>
          <a:ext cx="501650" cy="512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1</xdr:row>
      <xdr:rowOff>0</xdr:rowOff>
    </xdr:from>
    <xdr:to>
      <xdr:col>1</xdr:col>
      <xdr:colOff>568325</xdr:colOff>
      <xdr:row>1</xdr:row>
      <xdr:rowOff>512372</xdr:rowOff>
    </xdr:to>
    <xdr:pic>
      <xdr:nvPicPr>
        <xdr:cNvPr id="6" name="Picture 5">
          <a:extLst>
            <a:ext uri="{FF2B5EF4-FFF2-40B4-BE49-F238E27FC236}">
              <a16:creationId xmlns:a16="http://schemas.microsoft.com/office/drawing/2014/main" id="{AEAE0270-57FD-4A53-B07A-46FC6D92E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95250"/>
          <a:ext cx="501650" cy="5123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196247</xdr:colOff>
      <xdr:row>0</xdr:row>
      <xdr:rowOff>72723</xdr:rowOff>
    </xdr:from>
    <xdr:to>
      <xdr:col>1</xdr:col>
      <xdr:colOff>721890</xdr:colOff>
      <xdr:row>1</xdr:row>
      <xdr:rowOff>514350</xdr:rowOff>
    </xdr:to>
    <xdr:pic>
      <xdr:nvPicPr>
        <xdr:cNvPr id="2" name="Picture 1">
          <a:extLst>
            <a:ext uri="{FF2B5EF4-FFF2-40B4-BE49-F238E27FC236}">
              <a16:creationId xmlns:a16="http://schemas.microsoft.com/office/drawing/2014/main" id="{C01C5AC5-F6A5-4E4C-8D63-0792F900E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097" y="72723"/>
          <a:ext cx="525643" cy="5368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223546</xdr:colOff>
      <xdr:row>0</xdr:row>
      <xdr:rowOff>184669</xdr:rowOff>
    </xdr:from>
    <xdr:to>
      <xdr:col>1</xdr:col>
      <xdr:colOff>767832</xdr:colOff>
      <xdr:row>2</xdr:row>
      <xdr:rowOff>11634</xdr:rowOff>
    </xdr:to>
    <xdr:pic>
      <xdr:nvPicPr>
        <xdr:cNvPr id="3" name="Picture 2">
          <a:extLst>
            <a:ext uri="{FF2B5EF4-FFF2-40B4-BE49-F238E27FC236}">
              <a16:creationId xmlns:a16="http://schemas.microsoft.com/office/drawing/2014/main" id="{AD35CCE8-DB3F-4C1A-BCAF-2714CFC44B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286" y="184669"/>
          <a:ext cx="544286" cy="5559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121779</xdr:colOff>
      <xdr:row>0</xdr:row>
      <xdr:rowOff>86592</xdr:rowOff>
    </xdr:from>
    <xdr:to>
      <xdr:col>1</xdr:col>
      <xdr:colOff>607104</xdr:colOff>
      <xdr:row>1</xdr:row>
      <xdr:rowOff>490009</xdr:rowOff>
    </xdr:to>
    <xdr:pic>
      <xdr:nvPicPr>
        <xdr:cNvPr id="3" name="Picture 2">
          <a:extLst>
            <a:ext uri="{FF2B5EF4-FFF2-40B4-BE49-F238E27FC236}">
              <a16:creationId xmlns:a16="http://schemas.microsoft.com/office/drawing/2014/main" id="{D1D0AF2D-511C-E743-9203-46513C4FF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900" y="86592"/>
          <a:ext cx="485325" cy="499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190500</xdr:colOff>
      <xdr:row>1</xdr:row>
      <xdr:rowOff>19050</xdr:rowOff>
    </xdr:from>
    <xdr:to>
      <xdr:col>2</xdr:col>
      <xdr:colOff>361500</xdr:colOff>
      <xdr:row>1</xdr:row>
      <xdr:rowOff>518679</xdr:rowOff>
    </xdr:to>
    <xdr:pic>
      <xdr:nvPicPr>
        <xdr:cNvPr id="3" name="Picture 2">
          <a:extLst>
            <a:ext uri="{FF2B5EF4-FFF2-40B4-BE49-F238E27FC236}">
              <a16:creationId xmlns:a16="http://schemas.microsoft.com/office/drawing/2014/main" id="{1A9BCC87-FAD8-417C-9BC3-75CCB38AE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114300"/>
          <a:ext cx="485325" cy="499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1</xdr:row>
      <xdr:rowOff>29210</xdr:rowOff>
    </xdr:from>
    <xdr:to>
      <xdr:col>1</xdr:col>
      <xdr:colOff>552450</xdr:colOff>
      <xdr:row>2</xdr:row>
      <xdr:rowOff>247650</xdr:rowOff>
    </xdr:to>
    <xdr:pic>
      <xdr:nvPicPr>
        <xdr:cNvPr id="3" name="Picture 2">
          <a:extLst>
            <a:ext uri="{FF2B5EF4-FFF2-40B4-BE49-F238E27FC236}">
              <a16:creationId xmlns:a16="http://schemas.microsoft.com/office/drawing/2014/main" id="{7E408ED3-A827-5043-A643-BE548D620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19710"/>
          <a:ext cx="476250" cy="485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133350</xdr:colOff>
      <xdr:row>0</xdr:row>
      <xdr:rowOff>173180</xdr:rowOff>
    </xdr:from>
    <xdr:to>
      <xdr:col>1</xdr:col>
      <xdr:colOff>670577</xdr:colOff>
      <xdr:row>2</xdr:row>
      <xdr:rowOff>261503</xdr:rowOff>
    </xdr:to>
    <xdr:pic>
      <xdr:nvPicPr>
        <xdr:cNvPr id="2" name="Picture 1">
          <a:extLst>
            <a:ext uri="{FF2B5EF4-FFF2-40B4-BE49-F238E27FC236}">
              <a16:creationId xmlns:a16="http://schemas.microsoft.com/office/drawing/2014/main" id="{59D6C28B-A5F7-C646-A159-7905127205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827" y="173180"/>
          <a:ext cx="537227" cy="5472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116417</xdr:colOff>
      <xdr:row>0</xdr:row>
      <xdr:rowOff>222250</xdr:rowOff>
    </xdr:from>
    <xdr:to>
      <xdr:col>1</xdr:col>
      <xdr:colOff>646857</xdr:colOff>
      <xdr:row>2</xdr:row>
      <xdr:rowOff>0</xdr:rowOff>
    </xdr:to>
    <xdr:pic>
      <xdr:nvPicPr>
        <xdr:cNvPr id="2" name="Picture 1">
          <a:extLst>
            <a:ext uri="{FF2B5EF4-FFF2-40B4-BE49-F238E27FC236}">
              <a16:creationId xmlns:a16="http://schemas.microsoft.com/office/drawing/2014/main" id="{56134ED0-AEEF-AB42-8C1A-4D2255BA4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3917" y="222250"/>
          <a:ext cx="530440" cy="5344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209550</xdr:colOff>
      <xdr:row>0</xdr:row>
      <xdr:rowOff>190500</xdr:rowOff>
    </xdr:from>
    <xdr:to>
      <xdr:col>2</xdr:col>
      <xdr:colOff>339940</xdr:colOff>
      <xdr:row>2</xdr:row>
      <xdr:rowOff>251619</xdr:rowOff>
    </xdr:to>
    <xdr:pic>
      <xdr:nvPicPr>
        <xdr:cNvPr id="3" name="Picture 2">
          <a:extLst>
            <a:ext uri="{FF2B5EF4-FFF2-40B4-BE49-F238E27FC236}">
              <a16:creationId xmlns:a16="http://schemas.microsoft.com/office/drawing/2014/main" id="{97711E5B-F974-4840-86AD-35A36FA91B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190500"/>
          <a:ext cx="530440" cy="52784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D2EAA338-32AB-4E3B-9349-DB7167AED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6997195C-FBA5-4B63-9935-6B8B651B5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0826E6EB-02F3-40C7-81EC-A506D858A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238125</xdr:colOff>
      <xdr:row>1</xdr:row>
      <xdr:rowOff>0</xdr:rowOff>
    </xdr:from>
    <xdr:to>
      <xdr:col>1</xdr:col>
      <xdr:colOff>768565</xdr:colOff>
      <xdr:row>1</xdr:row>
      <xdr:rowOff>527844</xdr:rowOff>
    </xdr:to>
    <xdr:pic>
      <xdr:nvPicPr>
        <xdr:cNvPr id="3" name="Picture 2">
          <a:extLst>
            <a:ext uri="{FF2B5EF4-FFF2-40B4-BE49-F238E27FC236}">
              <a16:creationId xmlns:a16="http://schemas.microsoft.com/office/drawing/2014/main" id="{0C23B76D-7376-4769-9801-3B0083EE6B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95250"/>
          <a:ext cx="530440" cy="5278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197068</xdr:colOff>
      <xdr:row>0</xdr:row>
      <xdr:rowOff>244475</xdr:rowOff>
    </xdr:from>
    <xdr:to>
      <xdr:col>1</xdr:col>
      <xdr:colOff>717550</xdr:colOff>
      <xdr:row>1</xdr:row>
      <xdr:rowOff>504825</xdr:rowOff>
    </xdr:to>
    <xdr:pic>
      <xdr:nvPicPr>
        <xdr:cNvPr id="2" name="Picture 1">
          <a:extLst>
            <a:ext uri="{FF2B5EF4-FFF2-40B4-BE49-F238E27FC236}">
              <a16:creationId xmlns:a16="http://schemas.microsoft.com/office/drawing/2014/main" id="{83E08391-747A-864C-85BB-B1523725B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393" y="244475"/>
          <a:ext cx="520482" cy="517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8A79-87D1-6C45-BFD9-F4255100BAD9}">
  <dimension ref="B2:I15"/>
  <sheetViews>
    <sheetView zoomScale="109" workbookViewId="0">
      <selection activeCell="I16" sqref="I16"/>
    </sheetView>
  </sheetViews>
  <sheetFormatPr defaultColWidth="8.7109375" defaultRowHeight="15"/>
  <cols>
    <col min="1" max="1" width="4.7109375" customWidth="1"/>
    <col min="2" max="2" width="19.42578125" bestFit="1" customWidth="1"/>
    <col min="3" max="3" width="23.28515625" customWidth="1"/>
    <col min="4" max="4" width="3.7109375" customWidth="1"/>
    <col min="5" max="5" width="22.7109375" customWidth="1"/>
    <col min="6" max="6" width="23.140625" customWidth="1"/>
    <col min="7" max="7" width="4.28515625" customWidth="1"/>
    <col min="8" max="8" width="22.140625" bestFit="1" customWidth="1"/>
    <col min="9" max="9" width="24.28515625" customWidth="1"/>
  </cols>
  <sheetData>
    <row r="2" spans="2:9" ht="15.75">
      <c r="B2" s="102" t="s">
        <v>0</v>
      </c>
      <c r="C2" s="102"/>
      <c r="D2" s="32"/>
      <c r="E2" s="102" t="s">
        <v>1</v>
      </c>
      <c r="F2" s="102"/>
      <c r="G2" s="32"/>
      <c r="H2" s="102" t="s">
        <v>2</v>
      </c>
      <c r="I2" s="102"/>
    </row>
    <row r="3" spans="2:9">
      <c r="B3" s="32" t="s">
        <v>3</v>
      </c>
      <c r="C3" s="32" t="s">
        <v>4</v>
      </c>
      <c r="D3" s="32"/>
      <c r="E3" s="32" t="s">
        <v>3</v>
      </c>
      <c r="F3" s="32" t="s">
        <v>4</v>
      </c>
      <c r="G3" s="32"/>
      <c r="H3" s="32" t="s">
        <v>3</v>
      </c>
      <c r="I3" s="32" t="s">
        <v>4</v>
      </c>
    </row>
    <row r="4" spans="2:9">
      <c r="B4" t="s">
        <v>5</v>
      </c>
      <c r="C4" t="s">
        <v>6</v>
      </c>
      <c r="E4" t="s">
        <v>1</v>
      </c>
      <c r="F4" t="s">
        <v>0</v>
      </c>
      <c r="H4" t="s">
        <v>7</v>
      </c>
      <c r="I4" t="s">
        <v>8</v>
      </c>
    </row>
    <row r="5" spans="2:9">
      <c r="B5" t="s">
        <v>9</v>
      </c>
      <c r="C5" t="s">
        <v>10</v>
      </c>
      <c r="E5" t="s">
        <v>11</v>
      </c>
      <c r="F5" t="s">
        <v>12</v>
      </c>
      <c r="H5" t="s">
        <v>13</v>
      </c>
      <c r="I5" t="s">
        <v>14</v>
      </c>
    </row>
    <row r="6" spans="2:9">
      <c r="B6" t="s">
        <v>15</v>
      </c>
      <c r="C6" t="s">
        <v>16</v>
      </c>
      <c r="E6" t="s">
        <v>17</v>
      </c>
      <c r="F6" t="s">
        <v>18</v>
      </c>
      <c r="H6" t="s">
        <v>19</v>
      </c>
      <c r="I6" t="s">
        <v>20</v>
      </c>
    </row>
    <row r="7" spans="2:9">
      <c r="B7" t="s">
        <v>21</v>
      </c>
      <c r="C7" t="s">
        <v>22</v>
      </c>
      <c r="E7" t="s">
        <v>23</v>
      </c>
      <c r="F7" t="s">
        <v>24</v>
      </c>
      <c r="H7" t="s">
        <v>25</v>
      </c>
      <c r="I7" t="s">
        <v>26</v>
      </c>
    </row>
    <row r="8" spans="2:9">
      <c r="B8" t="s">
        <v>27</v>
      </c>
      <c r="C8" t="s">
        <v>28</v>
      </c>
      <c r="E8" t="s">
        <v>29</v>
      </c>
      <c r="F8" t="s">
        <v>30</v>
      </c>
      <c r="H8" t="s">
        <v>31</v>
      </c>
      <c r="I8" t="s">
        <v>32</v>
      </c>
    </row>
    <row r="9" spans="2:9">
      <c r="B9" t="s">
        <v>33</v>
      </c>
      <c r="C9" t="s">
        <v>34</v>
      </c>
      <c r="E9" t="s">
        <v>35</v>
      </c>
      <c r="F9" t="s">
        <v>36</v>
      </c>
      <c r="H9" t="s">
        <v>37</v>
      </c>
      <c r="I9" t="s">
        <v>38</v>
      </c>
    </row>
    <row r="10" spans="2:9">
      <c r="B10" t="s">
        <v>39</v>
      </c>
      <c r="C10" t="s">
        <v>40</v>
      </c>
      <c r="E10" t="s">
        <v>41</v>
      </c>
      <c r="F10" t="s">
        <v>42</v>
      </c>
      <c r="H10" t="s">
        <v>43</v>
      </c>
      <c r="I10" t="s">
        <v>44</v>
      </c>
    </row>
    <row r="11" spans="2:9">
      <c r="E11" t="s">
        <v>45</v>
      </c>
      <c r="F11" t="s">
        <v>46</v>
      </c>
      <c r="H11" t="s">
        <v>47</v>
      </c>
      <c r="I11" t="s">
        <v>48</v>
      </c>
    </row>
    <row r="12" spans="2:9">
      <c r="E12" t="s">
        <v>49</v>
      </c>
      <c r="F12" t="s">
        <v>50</v>
      </c>
      <c r="H12" t="s">
        <v>51</v>
      </c>
      <c r="I12" t="s">
        <v>52</v>
      </c>
    </row>
    <row r="13" spans="2:9">
      <c r="H13" t="s">
        <v>53</v>
      </c>
      <c r="I13" t="s">
        <v>54</v>
      </c>
    </row>
    <row r="14" spans="2:9">
      <c r="H14" t="s">
        <v>55</v>
      </c>
      <c r="I14" t="s">
        <v>56</v>
      </c>
    </row>
    <row r="15" spans="2:9">
      <c r="H15" t="s">
        <v>57</v>
      </c>
      <c r="I15" t="s">
        <v>58</v>
      </c>
    </row>
  </sheetData>
  <mergeCells count="3">
    <mergeCell ref="B2:C2"/>
    <mergeCell ref="E2:F2"/>
    <mergeCell ref="H2:I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E9A8-3C04-A241-9FA1-3C5F0C7EA99E}">
  <sheetPr>
    <tabColor theme="7" tint="0.79998168889431442"/>
  </sheetPr>
  <dimension ref="B3:B22"/>
  <sheetViews>
    <sheetView showGridLines="0" topLeftCell="A3" zoomScale="130" zoomScaleNormal="130" workbookViewId="0">
      <selection activeCell="B12" sqref="B12:B22"/>
    </sheetView>
  </sheetViews>
  <sheetFormatPr defaultColWidth="11.5703125" defaultRowHeight="15"/>
  <sheetData>
    <row r="3" spans="2:2">
      <c r="B3" s="13" t="s">
        <v>59</v>
      </c>
    </row>
    <row r="4" spans="2:2">
      <c r="B4" t="s">
        <v>60</v>
      </c>
    </row>
    <row r="5" spans="2:2">
      <c r="B5" t="s">
        <v>61</v>
      </c>
    </row>
    <row r="6" spans="2:2">
      <c r="B6" t="s">
        <v>62</v>
      </c>
    </row>
    <row r="8" spans="2:2">
      <c r="B8" s="13" t="s">
        <v>63</v>
      </c>
    </row>
    <row r="9" spans="2:2">
      <c r="B9" t="s">
        <v>64</v>
      </c>
    </row>
    <row r="10" spans="2:2">
      <c r="B10" t="s">
        <v>65</v>
      </c>
    </row>
    <row r="12" spans="2:2">
      <c r="B12" s="13" t="s">
        <v>66</v>
      </c>
    </row>
    <row r="13" spans="2:2">
      <c r="B13" t="s">
        <v>67</v>
      </c>
    </row>
    <row r="14" spans="2:2">
      <c r="B14" t="s">
        <v>68</v>
      </c>
    </row>
    <row r="15" spans="2:2">
      <c r="B15" t="s">
        <v>69</v>
      </c>
    </row>
    <row r="16" spans="2:2">
      <c r="B16" t="s">
        <v>70</v>
      </c>
    </row>
    <row r="17" spans="2:2">
      <c r="B17" t="s">
        <v>71</v>
      </c>
    </row>
    <row r="18" spans="2:2">
      <c r="B18" t="s">
        <v>72</v>
      </c>
    </row>
    <row r="19" spans="2:2">
      <c r="B19" t="s">
        <v>73</v>
      </c>
    </row>
    <row r="20" spans="2:2">
      <c r="B20" t="s">
        <v>74</v>
      </c>
    </row>
    <row r="21" spans="2:2">
      <c r="B21" t="s">
        <v>75</v>
      </c>
    </row>
    <row r="22" spans="2:2">
      <c r="B22"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E117-2A83-4EE7-BF18-052A63F8BA04}">
  <sheetPr>
    <tabColor rgb="FFD9F2D0"/>
  </sheetPr>
  <dimension ref="B2:P10"/>
  <sheetViews>
    <sheetView showGridLines="0" workbookViewId="0">
      <selection activeCell="H17" sqref="H17"/>
    </sheetView>
  </sheetViews>
  <sheetFormatPr defaultRowHeight="15"/>
  <cols>
    <col min="1" max="1" width="4.85546875" customWidth="1"/>
    <col min="2" max="14" width="16.5703125" customWidth="1"/>
    <col min="16" max="16" width="49.140625" customWidth="1"/>
  </cols>
  <sheetData>
    <row r="2" spans="2:16" ht="42" customHeight="1">
      <c r="B2" s="103" t="s">
        <v>77</v>
      </c>
      <c r="C2" s="104"/>
      <c r="D2" s="104"/>
      <c r="E2" s="104"/>
      <c r="F2" s="104"/>
      <c r="G2" s="104"/>
      <c r="H2" s="104"/>
      <c r="I2" s="104"/>
      <c r="J2" s="104"/>
      <c r="K2" s="104"/>
      <c r="L2" s="104"/>
      <c r="M2" s="104"/>
      <c r="N2" s="105"/>
    </row>
    <row r="4" spans="2:16" ht="15.75">
      <c r="B4" s="95"/>
      <c r="C4" s="106" t="s">
        <v>78</v>
      </c>
      <c r="D4" s="106"/>
      <c r="E4" s="106"/>
      <c r="F4" s="106"/>
      <c r="G4" s="106"/>
      <c r="H4" s="106"/>
      <c r="I4" s="106" t="s">
        <v>79</v>
      </c>
      <c r="J4" s="106"/>
      <c r="K4" s="106"/>
      <c r="L4" s="106"/>
      <c r="M4" s="106"/>
      <c r="N4" s="106"/>
      <c r="P4" s="17" t="s">
        <v>80</v>
      </c>
    </row>
    <row r="5" spans="2:16">
      <c r="B5" s="108" t="s">
        <v>81</v>
      </c>
      <c r="C5" s="107"/>
      <c r="D5" s="107"/>
      <c r="E5" s="107"/>
      <c r="F5" s="107"/>
      <c r="G5" s="107"/>
      <c r="H5" s="107"/>
      <c r="I5" s="107"/>
      <c r="J5" s="107"/>
      <c r="K5" s="107"/>
      <c r="L5" s="107"/>
      <c r="M5" s="107"/>
      <c r="N5" s="107"/>
    </row>
    <row r="6" spans="2:16">
      <c r="B6" s="109"/>
      <c r="C6" s="107"/>
      <c r="D6" s="107"/>
      <c r="E6" s="107"/>
      <c r="F6" s="107"/>
      <c r="G6" s="107"/>
      <c r="H6" s="107"/>
      <c r="I6" s="107"/>
      <c r="J6" s="107"/>
      <c r="K6" s="107"/>
      <c r="L6" s="107"/>
      <c r="M6" s="107"/>
      <c r="N6" s="107"/>
    </row>
    <row r="7" spans="2:16">
      <c r="B7" s="110"/>
      <c r="C7" s="107"/>
      <c r="D7" s="107"/>
      <c r="E7" s="107"/>
      <c r="F7" s="107"/>
      <c r="G7" s="107"/>
      <c r="H7" s="107"/>
      <c r="I7" s="107"/>
      <c r="J7" s="107"/>
      <c r="K7" s="107"/>
      <c r="L7" s="107"/>
      <c r="M7" s="107"/>
      <c r="N7" s="107"/>
    </row>
    <row r="8" spans="2:16">
      <c r="B8" s="108" t="s">
        <v>82</v>
      </c>
      <c r="C8" s="107"/>
      <c r="D8" s="107"/>
      <c r="E8" s="107"/>
      <c r="F8" s="107"/>
      <c r="G8" s="107"/>
      <c r="H8" s="107"/>
      <c r="I8" s="107"/>
      <c r="J8" s="107"/>
      <c r="K8" s="107"/>
      <c r="L8" s="107"/>
      <c r="M8" s="107"/>
      <c r="N8" s="107"/>
    </row>
    <row r="9" spans="2:16">
      <c r="B9" s="109"/>
      <c r="C9" s="107"/>
      <c r="D9" s="107"/>
      <c r="E9" s="107"/>
      <c r="F9" s="107"/>
      <c r="G9" s="107"/>
      <c r="H9" s="107"/>
      <c r="I9" s="107"/>
      <c r="J9" s="107"/>
      <c r="K9" s="107"/>
      <c r="L9" s="107"/>
      <c r="M9" s="107"/>
      <c r="N9" s="107"/>
    </row>
    <row r="10" spans="2:16">
      <c r="B10" s="110"/>
      <c r="C10" s="107"/>
      <c r="D10" s="107"/>
      <c r="E10" s="107"/>
      <c r="F10" s="107"/>
      <c r="G10" s="107"/>
      <c r="H10" s="107"/>
      <c r="I10" s="107"/>
      <c r="J10" s="107"/>
      <c r="K10" s="107"/>
      <c r="L10" s="107"/>
      <c r="M10" s="107"/>
      <c r="N10" s="107"/>
    </row>
  </sheetData>
  <mergeCells count="17">
    <mergeCell ref="B8:B10"/>
    <mergeCell ref="I6:N6"/>
    <mergeCell ref="I7:N7"/>
    <mergeCell ref="I8:N8"/>
    <mergeCell ref="I9:N9"/>
    <mergeCell ref="I10:N10"/>
    <mergeCell ref="C6:H6"/>
    <mergeCell ref="C7:H7"/>
    <mergeCell ref="C8:H8"/>
    <mergeCell ref="C9:H9"/>
    <mergeCell ref="C10:H10"/>
    <mergeCell ref="B2:N2"/>
    <mergeCell ref="C4:H4"/>
    <mergeCell ref="I4:N4"/>
    <mergeCell ref="C5:H5"/>
    <mergeCell ref="I5:N5"/>
    <mergeCell ref="B5:B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6BB2-04A7-4DA4-8FED-95743B7CBB4B}">
  <sheetPr>
    <tabColor rgb="FF9CCFF5"/>
  </sheetPr>
  <dimension ref="B1:H82"/>
  <sheetViews>
    <sheetView showGridLines="0" zoomScaleNormal="100" workbookViewId="0">
      <selection activeCell="H5" sqref="H5"/>
    </sheetView>
  </sheetViews>
  <sheetFormatPr defaultColWidth="8.7109375" defaultRowHeight="15"/>
  <cols>
    <col min="1" max="1" width="4.85546875" customWidth="1"/>
    <col min="2" max="3" width="35.7109375" customWidth="1"/>
    <col min="4" max="4" width="23.7109375" customWidth="1"/>
    <col min="5" max="5" width="22.7109375" customWidth="1"/>
    <col min="6" max="6" width="37.140625" customWidth="1"/>
    <col min="8" max="8" width="34.28515625" customWidth="1"/>
  </cols>
  <sheetData>
    <row r="1" spans="2:8" ht="7.9" customHeight="1"/>
    <row r="2" spans="2:8" ht="42" customHeight="1">
      <c r="B2" s="104" t="s">
        <v>83</v>
      </c>
      <c r="C2" s="104"/>
      <c r="D2" s="104"/>
      <c r="E2" s="104"/>
      <c r="F2" s="104"/>
    </row>
    <row r="3" spans="2:8" ht="10.15" customHeight="1"/>
    <row r="5" spans="2:8">
      <c r="B5" s="71" t="s">
        <v>84</v>
      </c>
      <c r="C5" s="71" t="s">
        <v>85</v>
      </c>
      <c r="D5" s="71" t="s">
        <v>86</v>
      </c>
      <c r="E5" s="71" t="s">
        <v>87</v>
      </c>
      <c r="F5" s="71" t="s">
        <v>88</v>
      </c>
      <c r="H5" s="17" t="s">
        <v>80</v>
      </c>
    </row>
    <row r="6" spans="2:8">
      <c r="B6" s="38" t="s">
        <v>89</v>
      </c>
      <c r="C6" s="69"/>
      <c r="D6" s="69"/>
      <c r="E6" s="69"/>
      <c r="F6" s="69"/>
    </row>
    <row r="7" spans="2:8">
      <c r="B7" s="18"/>
      <c r="C7" s="69"/>
      <c r="D7" s="69"/>
      <c r="E7" s="69"/>
      <c r="F7" s="69"/>
    </row>
    <row r="8" spans="2:8">
      <c r="B8" s="18"/>
      <c r="C8" s="69"/>
      <c r="D8" s="69"/>
      <c r="E8" s="69"/>
      <c r="F8" s="69"/>
    </row>
    <row r="9" spans="2:8">
      <c r="B9" s="18"/>
      <c r="C9" s="69"/>
      <c r="D9" s="69"/>
      <c r="E9" s="69"/>
      <c r="F9" s="69"/>
    </row>
    <row r="10" spans="2:8">
      <c r="B10" s="18"/>
      <c r="C10" s="69"/>
      <c r="D10" s="69"/>
      <c r="E10" s="69"/>
      <c r="F10" s="69"/>
    </row>
    <row r="11" spans="2:8">
      <c r="B11" s="18"/>
      <c r="C11" s="69"/>
      <c r="D11" s="69"/>
      <c r="E11" s="69"/>
      <c r="F11" s="69"/>
    </row>
    <row r="12" spans="2:8">
      <c r="B12" s="18"/>
      <c r="C12" s="69"/>
      <c r="D12" s="69"/>
      <c r="E12" s="69"/>
      <c r="F12" s="69"/>
    </row>
    <row r="13" spans="2:8">
      <c r="B13" s="38" t="s">
        <v>90</v>
      </c>
      <c r="C13" s="69"/>
      <c r="D13" s="69"/>
      <c r="E13" s="69"/>
      <c r="F13" s="69"/>
    </row>
    <row r="14" spans="2:8">
      <c r="B14" s="18"/>
      <c r="C14" s="69"/>
      <c r="D14" s="69"/>
      <c r="E14" s="69"/>
      <c r="F14" s="69"/>
    </row>
    <row r="15" spans="2:8">
      <c r="B15" s="18"/>
      <c r="C15" s="69"/>
      <c r="D15" s="69"/>
      <c r="E15" s="69"/>
      <c r="F15" s="69"/>
    </row>
    <row r="16" spans="2:8">
      <c r="B16" s="18"/>
      <c r="C16" s="69"/>
      <c r="D16" s="69"/>
      <c r="E16" s="69"/>
      <c r="F16" s="69"/>
    </row>
    <row r="17" spans="2:6">
      <c r="B17" s="18"/>
      <c r="C17" s="69"/>
      <c r="D17" s="69"/>
      <c r="E17" s="69"/>
      <c r="F17" s="69"/>
    </row>
    <row r="18" spans="2:6">
      <c r="B18" s="38" t="s">
        <v>91</v>
      </c>
      <c r="C18" s="69"/>
      <c r="D18" s="69"/>
      <c r="E18" s="69"/>
      <c r="F18" s="69"/>
    </row>
    <row r="19" spans="2:6">
      <c r="B19" s="18"/>
      <c r="C19" s="69"/>
      <c r="D19" s="69"/>
      <c r="E19" s="69"/>
      <c r="F19" s="69"/>
    </row>
    <row r="20" spans="2:6">
      <c r="B20" s="18"/>
      <c r="C20" s="69"/>
      <c r="D20" s="69"/>
      <c r="E20" s="69"/>
      <c r="F20" s="69"/>
    </row>
    <row r="21" spans="2:6">
      <c r="B21" s="18"/>
      <c r="C21" s="69"/>
      <c r="D21" s="69"/>
      <c r="E21" s="69"/>
      <c r="F21" s="69"/>
    </row>
    <row r="22" spans="2:6">
      <c r="B22" s="18"/>
      <c r="C22" s="69"/>
      <c r="D22" s="69"/>
      <c r="E22" s="69"/>
      <c r="F22" s="69"/>
    </row>
    <row r="23" spans="2:6">
      <c r="B23" s="18"/>
      <c r="C23" s="69"/>
      <c r="D23" s="69"/>
      <c r="E23" s="69"/>
      <c r="F23" s="69"/>
    </row>
    <row r="24" spans="2:6">
      <c r="B24" s="18"/>
      <c r="C24" s="69"/>
      <c r="D24" s="69"/>
      <c r="E24" s="69"/>
      <c r="F24" s="69"/>
    </row>
    <row r="25" spans="2:6">
      <c r="B25" s="18"/>
      <c r="C25" s="69"/>
      <c r="D25" s="69"/>
      <c r="E25" s="69"/>
      <c r="F25" s="69"/>
    </row>
    <row r="26" spans="2:6">
      <c r="B26" s="18"/>
      <c r="C26" s="69"/>
      <c r="D26" s="69"/>
      <c r="E26" s="69"/>
      <c r="F26" s="69"/>
    </row>
    <row r="27" spans="2:6">
      <c r="B27" s="38" t="s">
        <v>92</v>
      </c>
      <c r="C27" s="69"/>
      <c r="D27" s="69"/>
      <c r="E27" s="69"/>
      <c r="F27" s="69"/>
    </row>
    <row r="28" spans="2:6">
      <c r="B28" s="18"/>
      <c r="C28" s="69"/>
      <c r="D28" s="69"/>
      <c r="E28" s="69"/>
      <c r="F28" s="69"/>
    </row>
    <row r="29" spans="2:6">
      <c r="B29" s="18"/>
      <c r="C29" s="69"/>
      <c r="D29" s="69"/>
      <c r="E29" s="69"/>
      <c r="F29" s="69"/>
    </row>
    <row r="30" spans="2:6">
      <c r="B30" s="18"/>
      <c r="C30" s="69"/>
      <c r="D30" s="69"/>
      <c r="E30" s="69"/>
      <c r="F30" s="69"/>
    </row>
    <row r="31" spans="2:6">
      <c r="B31" s="18"/>
      <c r="C31" s="69"/>
      <c r="D31" s="69"/>
      <c r="E31" s="69"/>
      <c r="F31" s="69"/>
    </row>
    <row r="32" spans="2:6">
      <c r="B32" s="18"/>
      <c r="C32" s="69"/>
      <c r="D32" s="69"/>
      <c r="E32" s="69"/>
      <c r="F32" s="69"/>
    </row>
    <row r="33" spans="2:6">
      <c r="B33" s="18"/>
      <c r="C33" s="69"/>
      <c r="D33" s="69"/>
      <c r="E33" s="69"/>
      <c r="F33" s="69"/>
    </row>
    <row r="34" spans="2:6">
      <c r="B34" s="18"/>
      <c r="C34" s="69"/>
      <c r="D34" s="69"/>
      <c r="E34" s="69"/>
      <c r="F34" s="69"/>
    </row>
    <row r="35" spans="2:6">
      <c r="B35" s="7"/>
      <c r="C35" s="69"/>
      <c r="D35" s="70"/>
      <c r="E35" s="70"/>
      <c r="F35" s="70"/>
    </row>
    <row r="36" spans="2:6">
      <c r="B36" s="38" t="s">
        <v>93</v>
      </c>
      <c r="C36" s="69"/>
      <c r="D36" s="69"/>
      <c r="E36" s="69"/>
      <c r="F36" s="69"/>
    </row>
    <row r="37" spans="2:6">
      <c r="B37" s="18"/>
      <c r="C37" s="69"/>
      <c r="D37" s="69"/>
      <c r="E37" s="69"/>
      <c r="F37" s="69"/>
    </row>
    <row r="38" spans="2:6">
      <c r="B38" s="18"/>
      <c r="C38" s="69"/>
      <c r="D38" s="69"/>
      <c r="E38" s="69"/>
      <c r="F38" s="69"/>
    </row>
    <row r="39" spans="2:6">
      <c r="B39" s="18"/>
      <c r="C39" s="69"/>
      <c r="D39" s="69"/>
      <c r="E39" s="69"/>
      <c r="F39" s="69"/>
    </row>
    <row r="40" spans="2:6">
      <c r="B40" s="18"/>
      <c r="C40" s="69"/>
      <c r="D40" s="69"/>
      <c r="E40" s="69"/>
      <c r="F40" s="69"/>
    </row>
    <row r="41" spans="2:6">
      <c r="B41" s="18"/>
      <c r="C41" s="69"/>
      <c r="D41" s="69"/>
      <c r="E41" s="69"/>
      <c r="F41" s="69"/>
    </row>
    <row r="42" spans="2:6">
      <c r="B42" s="18"/>
      <c r="C42" s="69"/>
      <c r="D42" s="69"/>
      <c r="E42" s="69"/>
      <c r="F42" s="69"/>
    </row>
    <row r="43" spans="2:6">
      <c r="B43" s="18"/>
      <c r="C43" s="69"/>
      <c r="D43" s="69"/>
      <c r="E43" s="69"/>
      <c r="F43" s="69"/>
    </row>
    <row r="44" spans="2:6">
      <c r="B44" s="38" t="s">
        <v>94</v>
      </c>
      <c r="C44" s="69"/>
      <c r="D44" s="69"/>
      <c r="E44" s="69"/>
      <c r="F44" s="69"/>
    </row>
    <row r="45" spans="2:6">
      <c r="B45" s="18"/>
      <c r="C45" s="69"/>
      <c r="D45" s="69"/>
      <c r="E45" s="69"/>
      <c r="F45" s="69"/>
    </row>
    <row r="46" spans="2:6">
      <c r="B46" s="18"/>
      <c r="C46" s="69"/>
      <c r="D46" s="69"/>
      <c r="E46" s="69"/>
      <c r="F46" s="69"/>
    </row>
    <row r="47" spans="2:6">
      <c r="B47" s="18"/>
      <c r="C47" s="69"/>
      <c r="D47" s="69"/>
      <c r="E47" s="69"/>
      <c r="F47" s="69"/>
    </row>
    <row r="48" spans="2:6">
      <c r="B48" s="38" t="s">
        <v>95</v>
      </c>
      <c r="C48" s="69"/>
      <c r="D48" s="69"/>
      <c r="E48" s="69"/>
      <c r="F48" s="69"/>
    </row>
    <row r="49" spans="2:6">
      <c r="B49" s="18"/>
      <c r="C49" s="69"/>
      <c r="D49" s="69"/>
      <c r="E49" s="69"/>
      <c r="F49" s="69"/>
    </row>
    <row r="50" spans="2:6">
      <c r="B50" s="18"/>
      <c r="C50" s="69"/>
      <c r="D50" s="69"/>
      <c r="E50" s="69"/>
      <c r="F50" s="69"/>
    </row>
    <row r="51" spans="2:6">
      <c r="B51" s="18"/>
      <c r="C51" s="69"/>
      <c r="D51" s="69"/>
      <c r="E51" s="69"/>
      <c r="F51" s="69"/>
    </row>
    <row r="52" spans="2:6">
      <c r="B52" s="18"/>
      <c r="C52" s="69"/>
      <c r="D52" s="69"/>
      <c r="E52" s="69"/>
      <c r="F52" s="69"/>
    </row>
    <row r="53" spans="2:6">
      <c r="B53" s="18" t="s">
        <v>96</v>
      </c>
      <c r="C53" s="69"/>
      <c r="D53" s="69"/>
      <c r="E53" s="69"/>
      <c r="F53" s="69"/>
    </row>
    <row r="54" spans="2:6">
      <c r="B54" s="18"/>
      <c r="C54" s="69"/>
      <c r="D54" s="69"/>
      <c r="E54" s="69"/>
      <c r="F54" s="69"/>
    </row>
    <row r="55" spans="2:6">
      <c r="B55" s="1"/>
      <c r="C55" s="1"/>
    </row>
    <row r="56" spans="2:6">
      <c r="B56" s="112"/>
      <c r="C56" s="112"/>
      <c r="D56" s="112"/>
      <c r="E56" s="112"/>
    </row>
    <row r="57" spans="2:6">
      <c r="B57" s="112"/>
      <c r="C57" s="112"/>
      <c r="D57" s="112"/>
      <c r="E57" s="112"/>
    </row>
    <row r="58" spans="2:6">
      <c r="B58" s="111"/>
      <c r="C58" s="111"/>
      <c r="D58" s="111"/>
      <c r="E58" s="111"/>
    </row>
    <row r="59" spans="2:6">
      <c r="B59" s="112"/>
      <c r="C59" s="112"/>
      <c r="D59" s="112"/>
      <c r="E59" s="112"/>
    </row>
    <row r="60" spans="2:6">
      <c r="B60" s="1"/>
      <c r="C60" s="1"/>
    </row>
    <row r="61" spans="2:6">
      <c r="B61" s="1"/>
      <c r="C61" s="1"/>
    </row>
    <row r="62" spans="2:6">
      <c r="B62" s="1"/>
      <c r="C62" s="1"/>
    </row>
    <row r="63" spans="2:6">
      <c r="B63" s="1"/>
      <c r="C63" s="1"/>
    </row>
    <row r="64" spans="2:6">
      <c r="B64" s="1"/>
      <c r="C64" s="1"/>
    </row>
    <row r="65" spans="2:3">
      <c r="B65" s="1"/>
      <c r="C65" s="1"/>
    </row>
    <row r="66" spans="2:3">
      <c r="B66" s="1"/>
      <c r="C66" s="1"/>
    </row>
    <row r="67" spans="2:3">
      <c r="B67" s="1"/>
      <c r="C67" s="1"/>
    </row>
    <row r="68" spans="2:3">
      <c r="B68" s="1"/>
      <c r="C68" s="1"/>
    </row>
    <row r="69" spans="2:3">
      <c r="B69" s="1"/>
      <c r="C69" s="1"/>
    </row>
    <row r="70" spans="2:3">
      <c r="B70" s="1"/>
      <c r="C70" s="1"/>
    </row>
    <row r="71" spans="2:3">
      <c r="B71" s="1"/>
      <c r="C71" s="1"/>
    </row>
    <row r="72" spans="2:3">
      <c r="B72" s="1"/>
      <c r="C72" s="1"/>
    </row>
    <row r="73" spans="2:3">
      <c r="B73" s="1"/>
      <c r="C73" s="1"/>
    </row>
    <row r="74" spans="2:3">
      <c r="B74" s="1"/>
      <c r="C74" s="1"/>
    </row>
    <row r="75" spans="2:3">
      <c r="B75" s="1"/>
      <c r="C75" s="1"/>
    </row>
    <row r="76" spans="2:3">
      <c r="B76" s="1"/>
      <c r="C76" s="1"/>
    </row>
    <row r="77" spans="2:3">
      <c r="B77" s="1"/>
      <c r="C77" s="1"/>
    </row>
    <row r="78" spans="2:3">
      <c r="B78" s="1"/>
      <c r="C78" s="1"/>
    </row>
    <row r="79" spans="2:3">
      <c r="B79" s="1"/>
      <c r="C79" s="1"/>
    </row>
    <row r="80" spans="2:3">
      <c r="B80" s="1"/>
      <c r="C80" s="1"/>
    </row>
    <row r="81" spans="2:3">
      <c r="B81" s="1"/>
      <c r="C81" s="1"/>
    </row>
    <row r="82" spans="2:3">
      <c r="B82" s="1"/>
      <c r="C82" s="1"/>
    </row>
  </sheetData>
  <dataConsolidate/>
  <mergeCells count="5">
    <mergeCell ref="B58:E58"/>
    <mergeCell ref="B59:E59"/>
    <mergeCell ref="B2:F2"/>
    <mergeCell ref="B56:E56"/>
    <mergeCell ref="B57:E5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D9862-49B1-3D4F-81CA-1DE94451094C}">
  <sheetPr>
    <tabColor rgb="FF156082"/>
  </sheetPr>
  <dimension ref="B1:N43"/>
  <sheetViews>
    <sheetView showGridLines="0" zoomScaleNormal="100" workbookViewId="0">
      <selection activeCell="B10" sqref="B10"/>
    </sheetView>
  </sheetViews>
  <sheetFormatPr defaultColWidth="8.7109375" defaultRowHeight="15"/>
  <cols>
    <col min="1" max="1" width="4.85546875" customWidth="1"/>
    <col min="2" max="2" width="25.42578125" customWidth="1"/>
    <col min="3" max="3" width="17.7109375" customWidth="1"/>
    <col min="4" max="4" width="14" customWidth="1"/>
    <col min="5" max="6" width="13.7109375" customWidth="1"/>
    <col min="7" max="7" width="11.7109375" customWidth="1"/>
    <col min="8" max="9" width="14.7109375" customWidth="1"/>
    <col min="10" max="10" width="16.7109375" customWidth="1"/>
    <col min="11" max="11" width="11.7109375" customWidth="1"/>
    <col min="12" max="12" width="5" bestFit="1" customWidth="1"/>
    <col min="13" max="13" width="53.42578125" customWidth="1"/>
    <col min="14" max="14" width="5.28515625" customWidth="1"/>
  </cols>
  <sheetData>
    <row r="1" spans="2:14" ht="7.9" customHeight="1"/>
    <row r="2" spans="2:14" ht="42" customHeight="1">
      <c r="B2" s="103" t="s">
        <v>97</v>
      </c>
      <c r="C2" s="104"/>
      <c r="D2" s="104"/>
      <c r="E2" s="104"/>
      <c r="F2" s="104"/>
      <c r="G2" s="104"/>
      <c r="H2" s="104"/>
      <c r="I2" s="104"/>
      <c r="J2" s="104"/>
      <c r="K2" s="104"/>
      <c r="L2" s="104"/>
      <c r="M2" s="104"/>
      <c r="N2" s="105"/>
    </row>
    <row r="3" spans="2:14" ht="10.15" customHeight="1"/>
    <row r="4" spans="2:14" ht="18.75">
      <c r="B4" s="25" t="s">
        <v>98</v>
      </c>
      <c r="C4" s="25"/>
      <c r="D4" s="25"/>
      <c r="E4" s="25"/>
      <c r="F4" s="25"/>
      <c r="G4" s="25"/>
    </row>
    <row r="5" spans="2:14" ht="7.9" customHeight="1">
      <c r="C5" s="25"/>
      <c r="D5" s="25"/>
      <c r="E5" s="25"/>
      <c r="F5" s="25"/>
      <c r="G5" s="25"/>
      <c r="H5" s="25"/>
      <c r="I5" s="25"/>
    </row>
    <row r="6" spans="2:14" ht="56.25" customHeight="1">
      <c r="B6" s="130"/>
      <c r="C6" s="131"/>
      <c r="D6" s="131"/>
      <c r="E6" s="131"/>
      <c r="F6" s="131"/>
      <c r="G6" s="131"/>
      <c r="H6" s="131"/>
      <c r="I6" s="131"/>
      <c r="J6" s="131"/>
      <c r="K6" s="132"/>
      <c r="M6" s="17" t="s">
        <v>99</v>
      </c>
    </row>
    <row r="7" spans="2:14">
      <c r="C7" s="27"/>
      <c r="D7" s="31"/>
      <c r="E7" s="31"/>
      <c r="F7" s="31"/>
      <c r="G7" s="31"/>
      <c r="H7" s="31"/>
      <c r="I7" s="31"/>
      <c r="J7" s="31"/>
      <c r="K7" s="31"/>
      <c r="L7" s="31"/>
      <c r="M7" s="31"/>
      <c r="N7" s="31"/>
    </row>
    <row r="8" spans="2:14" ht="18.75">
      <c r="B8" s="25" t="s">
        <v>100</v>
      </c>
    </row>
    <row r="9" spans="2:14" ht="12" customHeight="1"/>
    <row r="10" spans="2:14" ht="15.75">
      <c r="B10" s="56" t="s">
        <v>101</v>
      </c>
      <c r="C10" s="121" t="s">
        <v>102</v>
      </c>
      <c r="D10" s="122"/>
      <c r="E10" s="123"/>
      <c r="F10" s="121" t="s">
        <v>103</v>
      </c>
      <c r="G10" s="122"/>
      <c r="H10" s="123"/>
      <c r="I10" s="121" t="s">
        <v>104</v>
      </c>
      <c r="J10" s="122"/>
      <c r="K10" s="123"/>
      <c r="M10" s="118" t="s">
        <v>105</v>
      </c>
    </row>
    <row r="11" spans="2:14" ht="40.15" customHeight="1">
      <c r="B11" s="62"/>
      <c r="C11" s="124"/>
      <c r="D11" s="125"/>
      <c r="E11" s="126"/>
      <c r="F11" s="124"/>
      <c r="G11" s="125"/>
      <c r="H11" s="126"/>
      <c r="I11" s="124"/>
      <c r="J11" s="125"/>
      <c r="K11" s="126"/>
      <c r="M11" s="119"/>
    </row>
    <row r="12" spans="2:14" ht="42" customHeight="1">
      <c r="B12" s="62"/>
      <c r="C12" s="124"/>
      <c r="D12" s="125"/>
      <c r="E12" s="126"/>
      <c r="F12" s="124"/>
      <c r="G12" s="125"/>
      <c r="H12" s="126"/>
      <c r="I12" s="124"/>
      <c r="J12" s="125"/>
      <c r="K12" s="126"/>
      <c r="M12" s="119"/>
    </row>
    <row r="13" spans="2:14" ht="51.75" customHeight="1">
      <c r="B13" s="62"/>
      <c r="C13" s="124"/>
      <c r="D13" s="125"/>
      <c r="E13" s="126"/>
      <c r="F13" s="124"/>
      <c r="G13" s="125"/>
      <c r="H13" s="126"/>
      <c r="I13" s="124"/>
      <c r="J13" s="125"/>
      <c r="K13" s="126"/>
      <c r="M13" s="120"/>
    </row>
    <row r="15" spans="2:14" ht="18.75">
      <c r="B15" s="25" t="s">
        <v>106</v>
      </c>
    </row>
    <row r="16" spans="2:14" ht="13.15" customHeight="1">
      <c r="B16" s="25"/>
    </row>
    <row r="17" spans="2:13" ht="19.899999999999999" customHeight="1">
      <c r="B17" s="27" t="s">
        <v>107</v>
      </c>
      <c r="C17" s="28"/>
      <c r="M17" s="7" t="s">
        <v>108</v>
      </c>
    </row>
    <row r="18" spans="2:13" ht="13.9" customHeight="1"/>
    <row r="19" spans="2:13" ht="43.9" customHeight="1">
      <c r="B19" s="63" t="s">
        <v>109</v>
      </c>
      <c r="C19" s="115"/>
      <c r="D19" s="116"/>
      <c r="E19" s="116"/>
      <c r="F19" s="116"/>
      <c r="G19" s="116"/>
      <c r="H19" s="116"/>
      <c r="I19" s="116"/>
      <c r="J19" s="116"/>
      <c r="K19" s="117"/>
      <c r="M19" s="17" t="s">
        <v>110</v>
      </c>
    </row>
    <row r="20" spans="2:13" ht="13.9" customHeight="1"/>
    <row r="21" spans="2:13" ht="51" customHeight="1">
      <c r="B21" s="64" t="s">
        <v>111</v>
      </c>
      <c r="C21" s="115"/>
      <c r="D21" s="116"/>
      <c r="E21" s="116"/>
      <c r="F21" s="116"/>
      <c r="G21" s="116"/>
      <c r="H21" s="116"/>
      <c r="I21" s="116"/>
      <c r="J21" s="116"/>
      <c r="K21" s="117"/>
      <c r="M21" s="17" t="s">
        <v>112</v>
      </c>
    </row>
    <row r="22" spans="2:13" ht="13.9" customHeight="1"/>
    <row r="23" spans="2:13" ht="37.9" customHeight="1">
      <c r="B23" s="64" t="s">
        <v>113</v>
      </c>
      <c r="C23" s="115"/>
      <c r="D23" s="116"/>
      <c r="E23" s="116"/>
      <c r="F23" s="116"/>
      <c r="G23" s="116"/>
      <c r="H23" s="116"/>
      <c r="I23" s="116"/>
      <c r="J23" s="116"/>
      <c r="K23" s="117"/>
      <c r="M23" s="17" t="s">
        <v>114</v>
      </c>
    </row>
    <row r="24" spans="2:13" ht="15" customHeight="1"/>
    <row r="25" spans="2:13" ht="45" customHeight="1">
      <c r="B25" s="64" t="s">
        <v>115</v>
      </c>
      <c r="C25" s="115"/>
      <c r="D25" s="116"/>
      <c r="E25" s="116"/>
      <c r="F25" s="116"/>
      <c r="G25" s="116"/>
      <c r="H25" s="116"/>
      <c r="I25" s="116"/>
      <c r="J25" s="116"/>
      <c r="K25" s="117"/>
      <c r="M25" s="17" t="s">
        <v>116</v>
      </c>
    </row>
    <row r="26" spans="2:13" ht="18.75">
      <c r="B26" s="25"/>
    </row>
    <row r="27" spans="2:13" ht="18.75">
      <c r="B27" s="25" t="s">
        <v>117</v>
      </c>
    </row>
    <row r="28" spans="2:13" ht="13.9" customHeight="1">
      <c r="B28" s="25"/>
    </row>
    <row r="29" spans="2:13" ht="30">
      <c r="B29" s="57" t="s">
        <v>118</v>
      </c>
      <c r="C29" s="59" t="s">
        <v>119</v>
      </c>
      <c r="D29" s="57" t="s">
        <v>120</v>
      </c>
      <c r="E29" s="60" t="s">
        <v>121</v>
      </c>
      <c r="F29" s="57" t="s">
        <v>122</v>
      </c>
      <c r="G29" s="127" t="s">
        <v>123</v>
      </c>
      <c r="H29" s="128"/>
      <c r="I29" s="128"/>
      <c r="J29" s="128"/>
      <c r="K29" s="129"/>
      <c r="M29" s="118" t="s">
        <v>124</v>
      </c>
    </row>
    <row r="30" spans="2:13">
      <c r="B30" s="61" t="s">
        <v>125</v>
      </c>
      <c r="C30" s="61"/>
      <c r="D30" s="28"/>
      <c r="E30" s="65"/>
      <c r="F30" s="28"/>
      <c r="G30" s="115"/>
      <c r="H30" s="116"/>
      <c r="I30" s="116"/>
      <c r="J30" s="116"/>
      <c r="K30" s="117"/>
      <c r="M30" s="119"/>
    </row>
    <row r="31" spans="2:13">
      <c r="B31" s="61" t="s">
        <v>126</v>
      </c>
      <c r="C31" s="61"/>
      <c r="D31" s="28"/>
      <c r="E31" s="65"/>
      <c r="F31" s="28"/>
      <c r="G31" s="115"/>
      <c r="H31" s="116"/>
      <c r="I31" s="116"/>
      <c r="J31" s="116"/>
      <c r="K31" s="117"/>
      <c r="M31" s="119"/>
    </row>
    <row r="32" spans="2:13">
      <c r="B32" s="61" t="s">
        <v>127</v>
      </c>
      <c r="C32" s="61"/>
      <c r="D32" s="28"/>
      <c r="E32" s="65"/>
      <c r="F32" s="28"/>
      <c r="G32" s="115"/>
      <c r="H32" s="116"/>
      <c r="I32" s="116"/>
      <c r="J32" s="116"/>
      <c r="K32" s="117"/>
      <c r="M32" s="120"/>
    </row>
    <row r="35" spans="2:13" ht="18.75">
      <c r="B35" s="25" t="s">
        <v>128</v>
      </c>
    </row>
    <row r="37" spans="2:13">
      <c r="B37" s="113" t="s">
        <v>129</v>
      </c>
      <c r="C37" s="114" t="s">
        <v>130</v>
      </c>
      <c r="D37" s="114"/>
      <c r="E37" s="114"/>
      <c r="F37" s="114" t="s">
        <v>131</v>
      </c>
      <c r="G37" s="114"/>
      <c r="H37" s="114"/>
      <c r="I37" s="114" t="s">
        <v>132</v>
      </c>
      <c r="J37" s="114"/>
      <c r="K37" s="114"/>
      <c r="M37" s="118" t="s">
        <v>133</v>
      </c>
    </row>
    <row r="38" spans="2:13">
      <c r="B38" s="113"/>
      <c r="C38" s="67" t="s">
        <v>134</v>
      </c>
      <c r="D38" s="67" t="s">
        <v>135</v>
      </c>
      <c r="E38" s="67" t="s">
        <v>136</v>
      </c>
      <c r="F38" s="67" t="s">
        <v>134</v>
      </c>
      <c r="G38" s="67" t="s">
        <v>135</v>
      </c>
      <c r="H38" s="67" t="s">
        <v>136</v>
      </c>
      <c r="I38" s="67" t="s">
        <v>134</v>
      </c>
      <c r="J38" s="67" t="s">
        <v>135</v>
      </c>
      <c r="K38" s="67" t="s">
        <v>136</v>
      </c>
      <c r="M38" s="119"/>
    </row>
    <row r="39" spans="2:13">
      <c r="B39" s="66" t="s">
        <v>137</v>
      </c>
      <c r="C39" s="28"/>
      <c r="D39" s="28"/>
      <c r="E39" s="28"/>
      <c r="F39" s="28"/>
      <c r="G39" s="28"/>
      <c r="H39" s="28"/>
      <c r="I39" s="28"/>
      <c r="J39" s="28"/>
      <c r="K39" s="28"/>
      <c r="M39" s="119"/>
    </row>
    <row r="40" spans="2:13">
      <c r="B40" s="66" t="s">
        <v>138</v>
      </c>
      <c r="C40" s="28"/>
      <c r="D40" s="28"/>
      <c r="E40" s="28"/>
      <c r="F40" s="28"/>
      <c r="G40" s="28"/>
      <c r="H40" s="28"/>
      <c r="I40" s="28"/>
      <c r="J40" s="28"/>
      <c r="K40" s="28"/>
      <c r="M40" s="119"/>
    </row>
    <row r="41" spans="2:13">
      <c r="B41" s="66" t="s">
        <v>139</v>
      </c>
      <c r="C41" s="28"/>
      <c r="D41" s="28"/>
      <c r="E41" s="28"/>
      <c r="F41" s="28"/>
      <c r="G41" s="28"/>
      <c r="H41" s="28"/>
      <c r="I41" s="28"/>
      <c r="J41" s="28"/>
      <c r="K41" s="28"/>
      <c r="M41" s="119"/>
    </row>
    <row r="42" spans="2:13">
      <c r="B42" s="66" t="s">
        <v>140</v>
      </c>
      <c r="C42" s="28"/>
      <c r="D42" s="28"/>
      <c r="E42" s="28"/>
      <c r="F42" s="28"/>
      <c r="G42" s="28"/>
      <c r="H42" s="28"/>
      <c r="I42" s="28"/>
      <c r="J42" s="28"/>
      <c r="K42" s="28"/>
      <c r="M42" s="119"/>
    </row>
    <row r="43" spans="2:13">
      <c r="B43" s="66" t="s">
        <v>141</v>
      </c>
      <c r="C43" s="28"/>
      <c r="D43" s="28"/>
      <c r="E43" s="28"/>
      <c r="F43" s="28"/>
      <c r="G43" s="28"/>
      <c r="H43" s="28"/>
      <c r="I43" s="28"/>
      <c r="J43" s="28"/>
      <c r="K43" s="28"/>
      <c r="M43" s="120"/>
    </row>
  </sheetData>
  <dataConsolidate/>
  <mergeCells count="29">
    <mergeCell ref="I11:K11"/>
    <mergeCell ref="I12:K12"/>
    <mergeCell ref="I13:K13"/>
    <mergeCell ref="B2:N2"/>
    <mergeCell ref="B6:K6"/>
    <mergeCell ref="M37:M43"/>
    <mergeCell ref="M10:M13"/>
    <mergeCell ref="C10:E10"/>
    <mergeCell ref="C11:E11"/>
    <mergeCell ref="C12:E12"/>
    <mergeCell ref="C13:E13"/>
    <mergeCell ref="F10:H10"/>
    <mergeCell ref="F11:H11"/>
    <mergeCell ref="F12:H12"/>
    <mergeCell ref="F13:H13"/>
    <mergeCell ref="G29:K29"/>
    <mergeCell ref="G30:K30"/>
    <mergeCell ref="G31:K31"/>
    <mergeCell ref="G32:K32"/>
    <mergeCell ref="M29:M32"/>
    <mergeCell ref="I10:K10"/>
    <mergeCell ref="B37:B38"/>
    <mergeCell ref="C37:E37"/>
    <mergeCell ref="F37:H37"/>
    <mergeCell ref="I37:K37"/>
    <mergeCell ref="C19:K19"/>
    <mergeCell ref="C21:K21"/>
    <mergeCell ref="C23:K23"/>
    <mergeCell ref="C25:K25"/>
  </mergeCells>
  <dataValidations count="2">
    <dataValidation type="list" allowBlank="1" showInputMessage="1" showErrorMessage="1" sqref="C30:C32" xr:uid="{CAF7A0D1-3504-8C42-AD08-5D02B5E51241}">
      <formula1>"Growth, Profitability, Sustainability"</formula1>
    </dataValidation>
    <dataValidation type="list" allowBlank="1" showInputMessage="1" showErrorMessage="1" sqref="C39:K43" xr:uid="{BD2A627F-41C1-554B-A90B-1281C62E8415}">
      <formula1>"Focus, Regular, Radar, Exit"</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FC83-60FB-1A4E-B907-104118E78F0F}">
  <sheetPr>
    <tabColor rgb="FF156082"/>
  </sheetPr>
  <dimension ref="B2:J12"/>
  <sheetViews>
    <sheetView showGridLines="0" zoomScale="98" zoomScaleNormal="98" workbookViewId="0">
      <selection activeCell="E27" sqref="E27"/>
    </sheetView>
  </sheetViews>
  <sheetFormatPr defaultColWidth="11.5703125" defaultRowHeight="15"/>
  <cols>
    <col min="1" max="1" width="4.85546875" customWidth="1"/>
    <col min="2" max="2" width="37.28515625" customWidth="1"/>
    <col min="3" max="3" width="40.42578125" customWidth="1"/>
    <col min="4" max="4" width="1.28515625" customWidth="1"/>
    <col min="5" max="5" width="31" customWidth="1"/>
    <col min="6" max="6" width="40.7109375" customWidth="1"/>
  </cols>
  <sheetData>
    <row r="2" spans="2:10" ht="42" customHeight="1">
      <c r="B2" s="103" t="s">
        <v>142</v>
      </c>
      <c r="C2" s="104"/>
      <c r="D2" s="104"/>
      <c r="E2" s="104"/>
      <c r="F2" s="104"/>
    </row>
    <row r="4" spans="2:10" ht="18.75">
      <c r="B4" s="135" t="s">
        <v>143</v>
      </c>
      <c r="C4" s="135"/>
      <c r="D4" s="7"/>
      <c r="E4" s="136" t="s">
        <v>144</v>
      </c>
      <c r="F4" s="136"/>
      <c r="H4" s="134" t="s">
        <v>145</v>
      </c>
      <c r="I4" s="134"/>
      <c r="J4" s="134"/>
    </row>
    <row r="5" spans="2:10">
      <c r="B5" s="15" t="s">
        <v>146</v>
      </c>
      <c r="C5" s="15" t="s">
        <v>147</v>
      </c>
      <c r="D5" s="7"/>
      <c r="E5" s="15" t="s">
        <v>146</v>
      </c>
      <c r="F5" s="15" t="s">
        <v>148</v>
      </c>
      <c r="H5" s="133"/>
      <c r="I5" s="133"/>
      <c r="J5" s="133"/>
    </row>
    <row r="6" spans="2:10" ht="45" customHeight="1">
      <c r="B6" s="69"/>
      <c r="C6" s="69"/>
      <c r="D6" s="7"/>
      <c r="E6" s="69"/>
      <c r="F6" s="69"/>
      <c r="H6" s="133"/>
      <c r="I6" s="133"/>
      <c r="J6" s="133"/>
    </row>
    <row r="7" spans="2:10" ht="40.9" customHeight="1">
      <c r="B7" s="69"/>
      <c r="C7" s="69"/>
      <c r="D7" s="7"/>
      <c r="E7" s="69"/>
      <c r="F7" s="69"/>
      <c r="H7" s="133"/>
      <c r="I7" s="133"/>
      <c r="J7" s="133"/>
    </row>
    <row r="8" spans="2:10" ht="9" customHeight="1">
      <c r="B8" s="7"/>
      <c r="C8" s="7"/>
      <c r="D8" s="7"/>
      <c r="E8" s="7"/>
      <c r="F8" s="7"/>
      <c r="H8" s="133"/>
      <c r="I8" s="133"/>
      <c r="J8" s="133"/>
    </row>
    <row r="9" spans="2:10" ht="18.75">
      <c r="B9" s="137" t="s">
        <v>149</v>
      </c>
      <c r="C9" s="137"/>
      <c r="D9" s="7"/>
      <c r="E9" s="138" t="s">
        <v>150</v>
      </c>
      <c r="F9" s="138"/>
      <c r="H9" s="133"/>
      <c r="I9" s="133"/>
      <c r="J9" s="133"/>
    </row>
    <row r="10" spans="2:10">
      <c r="B10" s="15" t="s">
        <v>146</v>
      </c>
      <c r="C10" s="15" t="s">
        <v>151</v>
      </c>
      <c r="D10" s="7"/>
      <c r="E10" s="15" t="s">
        <v>146</v>
      </c>
      <c r="F10" s="15" t="s">
        <v>152</v>
      </c>
      <c r="H10" s="133"/>
      <c r="I10" s="133"/>
      <c r="J10" s="133"/>
    </row>
    <row r="11" spans="2:10" ht="34.15" customHeight="1">
      <c r="B11" s="69"/>
      <c r="C11" s="69"/>
      <c r="D11" s="7"/>
      <c r="E11" s="69"/>
      <c r="F11" s="69"/>
      <c r="H11" s="133"/>
      <c r="I11" s="133"/>
      <c r="J11" s="133"/>
    </row>
    <row r="12" spans="2:10" ht="40.15" customHeight="1">
      <c r="B12" s="69"/>
      <c r="C12" s="69"/>
      <c r="D12" s="7"/>
      <c r="E12" s="69"/>
      <c r="F12" s="69"/>
      <c r="H12" s="133"/>
      <c r="I12" s="133"/>
      <c r="J12" s="133"/>
    </row>
  </sheetData>
  <mergeCells count="7">
    <mergeCell ref="H5:J12"/>
    <mergeCell ref="H4:J4"/>
    <mergeCell ref="B4:C4"/>
    <mergeCell ref="E4:F4"/>
    <mergeCell ref="B2:F2"/>
    <mergeCell ref="B9:C9"/>
    <mergeCell ref="E9:F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80F81-8CDD-264E-90AE-90F876F596DE}">
  <sheetPr>
    <tabColor theme="7" tint="0.79998168889431442"/>
  </sheetPr>
  <dimension ref="B1:X16"/>
  <sheetViews>
    <sheetView showGridLines="0" zoomScale="99" zoomScaleNormal="99" workbookViewId="0">
      <selection activeCell="X7" sqref="X7"/>
    </sheetView>
  </sheetViews>
  <sheetFormatPr defaultColWidth="8.7109375" defaultRowHeight="15"/>
  <cols>
    <col min="1" max="1" width="4.85546875" customWidth="1"/>
    <col min="2" max="2" width="10.85546875" customWidth="1"/>
    <col min="3" max="3" width="27.140625" customWidth="1"/>
    <col min="4" max="4" width="23.7109375" bestFit="1" customWidth="1"/>
    <col min="5" max="5" width="8.140625" customWidth="1"/>
    <col min="6" max="6" width="2" customWidth="1"/>
    <col min="7" max="7" width="5.140625" customWidth="1"/>
    <col min="8" max="8" width="8.7109375" customWidth="1"/>
    <col min="9" max="9" width="8" customWidth="1"/>
    <col min="10" max="10" width="4.7109375" bestFit="1" customWidth="1"/>
    <col min="11" max="11" width="1.7109375" customWidth="1"/>
    <col min="12" max="12" width="5" bestFit="1" customWidth="1"/>
    <col min="13" max="13" width="16.7109375" bestFit="1" customWidth="1"/>
    <col min="14" max="14" width="8.140625" customWidth="1"/>
    <col min="15" max="15" width="1.7109375" customWidth="1"/>
    <col min="16" max="16" width="2.7109375" customWidth="1"/>
    <col min="17" max="17" width="7.7109375" customWidth="1"/>
    <col min="19" max="19" width="5.7109375" customWidth="1"/>
    <col min="20" max="20" width="2.7109375" customWidth="1"/>
    <col min="21" max="21" width="13.7109375" customWidth="1"/>
    <col min="24" max="24" width="34.28515625" customWidth="1"/>
  </cols>
  <sheetData>
    <row r="1" spans="2:24" ht="7.9" customHeight="1"/>
    <row r="2" spans="2:24" ht="41.25" customHeight="1">
      <c r="B2" s="139" t="s">
        <v>153</v>
      </c>
      <c r="C2" s="139"/>
      <c r="D2" s="139"/>
      <c r="E2" s="139"/>
      <c r="F2" s="139"/>
      <c r="G2" s="139"/>
      <c r="H2" s="139"/>
      <c r="I2" s="139"/>
      <c r="J2" s="139"/>
      <c r="K2" s="139"/>
      <c r="L2" s="139"/>
      <c r="M2" s="139"/>
      <c r="N2" s="139"/>
      <c r="O2" s="139"/>
      <c r="P2" s="139"/>
      <c r="Q2" s="139"/>
      <c r="R2" s="139"/>
      <c r="S2" s="139"/>
      <c r="T2" s="139"/>
      <c r="U2" s="139"/>
      <c r="V2" s="139"/>
    </row>
    <row r="3" spans="2:24" ht="10.15" customHeight="1"/>
    <row r="4" spans="2:24" ht="7.9" customHeight="1">
      <c r="D4" s="25"/>
      <c r="E4" s="25"/>
      <c r="F4" s="25"/>
      <c r="G4" s="25"/>
      <c r="H4" s="25"/>
      <c r="I4" s="25"/>
      <c r="J4" s="25"/>
    </row>
    <row r="5" spans="2:24" ht="13.15" customHeight="1">
      <c r="D5" s="25"/>
      <c r="E5" s="140" t="s">
        <v>154</v>
      </c>
      <c r="F5" s="140"/>
      <c r="G5" s="140"/>
      <c r="H5" s="140"/>
      <c r="I5" s="140"/>
      <c r="J5" s="140"/>
      <c r="N5" s="140" t="s">
        <v>155</v>
      </c>
      <c r="O5" s="140"/>
      <c r="P5" s="140"/>
      <c r="Q5" s="140"/>
      <c r="R5" s="140"/>
      <c r="S5" s="140"/>
    </row>
    <row r="6" spans="2:24" ht="4.9000000000000004" customHeight="1"/>
    <row r="7" spans="2:24">
      <c r="B7" s="26" t="s">
        <v>156</v>
      </c>
      <c r="C7" s="27" t="s">
        <v>157</v>
      </c>
      <c r="D7" s="28" t="s">
        <v>5</v>
      </c>
      <c r="F7" t="s">
        <v>158</v>
      </c>
      <c r="H7" s="28">
        <v>12</v>
      </c>
      <c r="I7" s="28" t="s">
        <v>159</v>
      </c>
      <c r="K7" t="s">
        <v>160</v>
      </c>
      <c r="M7" s="28" t="s">
        <v>6</v>
      </c>
      <c r="O7" t="s">
        <v>158</v>
      </c>
      <c r="Q7" s="29">
        <v>0.25</v>
      </c>
      <c r="R7" s="28" t="s">
        <v>159</v>
      </c>
      <c r="T7" t="s">
        <v>161</v>
      </c>
      <c r="U7" s="30"/>
      <c r="V7" t="s">
        <v>162</v>
      </c>
      <c r="X7" s="17" t="s">
        <v>80</v>
      </c>
    </row>
    <row r="8" spans="2:24">
      <c r="B8" s="26" t="s">
        <v>163</v>
      </c>
      <c r="C8" s="27" t="s">
        <v>164</v>
      </c>
      <c r="D8" s="28" t="s">
        <v>17</v>
      </c>
      <c r="F8" t="s">
        <v>158</v>
      </c>
      <c r="H8" s="28">
        <v>3</v>
      </c>
      <c r="I8" s="28" t="s">
        <v>159</v>
      </c>
      <c r="K8" t="s">
        <v>160</v>
      </c>
      <c r="M8" s="28" t="s">
        <v>18</v>
      </c>
      <c r="O8" t="s">
        <v>158</v>
      </c>
      <c r="Q8" s="28">
        <v>25</v>
      </c>
      <c r="R8" s="28" t="s">
        <v>165</v>
      </c>
    </row>
    <row r="9" spans="2:24">
      <c r="B9" s="26" t="s">
        <v>166</v>
      </c>
      <c r="C9" s="27" t="s">
        <v>167</v>
      </c>
      <c r="D9" s="28" t="s">
        <v>57</v>
      </c>
      <c r="F9" t="s">
        <v>158</v>
      </c>
      <c r="H9" s="28">
        <v>3</v>
      </c>
      <c r="I9" s="28" t="s">
        <v>159</v>
      </c>
      <c r="K9" t="s">
        <v>160</v>
      </c>
      <c r="M9" s="28" t="s">
        <v>58</v>
      </c>
      <c r="O9" t="s">
        <v>158</v>
      </c>
      <c r="Q9" s="28">
        <v>3</v>
      </c>
      <c r="R9" s="28" t="s">
        <v>168</v>
      </c>
    </row>
    <row r="10" spans="2:24">
      <c r="C10" s="27"/>
    </row>
    <row r="11" spans="2:24">
      <c r="C11" s="27" t="s">
        <v>169</v>
      </c>
      <c r="D11" s="141" t="s">
        <v>170</v>
      </c>
      <c r="E11" s="141"/>
      <c r="F11" s="141"/>
      <c r="G11" s="141"/>
      <c r="H11" s="141"/>
      <c r="I11" s="141"/>
      <c r="J11" s="141"/>
      <c r="K11" s="141"/>
      <c r="L11" s="141"/>
      <c r="M11" s="141"/>
      <c r="N11" s="141"/>
      <c r="O11" s="141"/>
      <c r="P11" s="141"/>
      <c r="Q11" s="141"/>
      <c r="R11" s="141"/>
      <c r="S11" s="141"/>
      <c r="T11" s="141"/>
      <c r="U11" s="141"/>
    </row>
    <row r="12" spans="2:24">
      <c r="C12" s="27"/>
      <c r="D12" s="141"/>
      <c r="E12" s="141"/>
      <c r="F12" s="141"/>
      <c r="G12" s="141"/>
      <c r="H12" s="141"/>
      <c r="I12" s="141"/>
      <c r="J12" s="141"/>
      <c r="K12" s="141"/>
      <c r="L12" s="141"/>
      <c r="M12" s="141"/>
      <c r="N12" s="141"/>
      <c r="O12" s="141"/>
      <c r="P12" s="141"/>
      <c r="Q12" s="141"/>
      <c r="R12" s="141"/>
      <c r="S12" s="141"/>
      <c r="T12" s="141"/>
      <c r="U12" s="141"/>
    </row>
    <row r="13" spans="2:24">
      <c r="C13" s="27"/>
      <c r="D13" s="31"/>
      <c r="E13" s="31"/>
      <c r="F13" s="31"/>
      <c r="G13" s="31"/>
      <c r="H13" s="31"/>
      <c r="I13" s="31"/>
      <c r="J13" s="31"/>
      <c r="K13" s="31"/>
      <c r="L13" s="31"/>
      <c r="M13" s="31"/>
      <c r="N13" s="31"/>
      <c r="O13" s="31"/>
      <c r="P13" s="31"/>
      <c r="Q13" s="31"/>
      <c r="R13" s="31"/>
      <c r="S13" s="31"/>
      <c r="T13" s="31"/>
      <c r="U13" s="31"/>
    </row>
    <row r="14" spans="2:24">
      <c r="C14" s="27" t="s">
        <v>171</v>
      </c>
      <c r="D14" s="142" t="s">
        <v>172</v>
      </c>
      <c r="E14" s="142"/>
      <c r="F14" s="142"/>
      <c r="G14" s="142"/>
      <c r="H14" s="142"/>
      <c r="I14" s="142"/>
      <c r="J14" s="142"/>
      <c r="K14" s="142"/>
      <c r="L14" s="142"/>
      <c r="M14" s="142"/>
      <c r="N14" s="142"/>
      <c r="O14" s="142"/>
      <c r="P14" s="142"/>
      <c r="Q14" s="142"/>
      <c r="R14" s="142"/>
      <c r="S14" s="142"/>
      <c r="T14" s="142"/>
      <c r="U14" s="142"/>
    </row>
    <row r="15" spans="2:24">
      <c r="D15" s="142"/>
      <c r="E15" s="142"/>
      <c r="F15" s="142"/>
      <c r="G15" s="142"/>
      <c r="H15" s="142"/>
      <c r="I15" s="142"/>
      <c r="J15" s="142"/>
      <c r="K15" s="142"/>
      <c r="L15" s="142"/>
      <c r="M15" s="142"/>
      <c r="N15" s="142"/>
      <c r="O15" s="142"/>
      <c r="P15" s="142"/>
      <c r="Q15" s="142"/>
      <c r="R15" s="142"/>
      <c r="S15" s="142"/>
      <c r="T15" s="142"/>
      <c r="U15" s="142"/>
    </row>
    <row r="16" spans="2:24">
      <c r="E16" s="36"/>
      <c r="F16" s="36"/>
      <c r="G16" s="36"/>
      <c r="H16" s="36"/>
      <c r="I16" s="36"/>
      <c r="J16" s="36"/>
      <c r="K16" s="36"/>
      <c r="L16" s="36"/>
      <c r="M16" s="36"/>
      <c r="N16" s="36"/>
      <c r="O16" s="36"/>
      <c r="P16" s="36"/>
      <c r="Q16" s="36"/>
      <c r="R16" s="36"/>
      <c r="S16" s="36"/>
      <c r="T16" s="36"/>
      <c r="U16" s="36"/>
      <c r="V16" s="36"/>
    </row>
  </sheetData>
  <dataConsolidate/>
  <mergeCells count="5">
    <mergeCell ref="B2:V2"/>
    <mergeCell ref="E5:J5"/>
    <mergeCell ref="N5:S5"/>
    <mergeCell ref="D11:U12"/>
    <mergeCell ref="D14:U15"/>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8C545172-6AEC-7046-8830-82010C0FC445}">
          <x14:formula1>
            <xm:f>Parameters!$B$4:$B$14</xm:f>
          </x14:formula1>
          <xm:sqref>D7</xm:sqref>
        </x14:dataValidation>
        <x14:dataValidation type="list" allowBlank="1" showInputMessage="1" showErrorMessage="1" xr:uid="{8B5946EA-EC35-8343-811F-A9C82F05FECD}">
          <x14:formula1>
            <xm:f>Parameters!$C$4:$C$14</xm:f>
          </x14:formula1>
          <xm:sqref>M7</xm:sqref>
        </x14:dataValidation>
        <x14:dataValidation type="list" allowBlank="1" showInputMessage="1" showErrorMessage="1" xr:uid="{1B00C20E-E9BD-A34D-B38E-DD49183CE524}">
          <x14:formula1>
            <xm:f>Parameters!$E$4:$E$16</xm:f>
          </x14:formula1>
          <xm:sqref>D8</xm:sqref>
        </x14:dataValidation>
        <x14:dataValidation type="list" allowBlank="1" showInputMessage="1" showErrorMessage="1" xr:uid="{BBD9FA59-0020-434A-9AD7-4C5EE8DF8DD9}">
          <x14:formula1>
            <xm:f>Parameters!$F$4:$F$16</xm:f>
          </x14:formula1>
          <xm:sqref>M8</xm:sqref>
        </x14:dataValidation>
        <x14:dataValidation type="list" allowBlank="1" showInputMessage="1" showErrorMessage="1" xr:uid="{0574FF48-6FA6-3C4E-93D2-D6AEC8D2FE65}">
          <x14:formula1>
            <xm:f>Parameters!$H$4:$H$18</xm:f>
          </x14:formula1>
          <xm:sqref>D9</xm:sqref>
        </x14:dataValidation>
        <x14:dataValidation type="list" allowBlank="1" showInputMessage="1" showErrorMessage="1" xr:uid="{EBC74DDA-B9CB-3C40-AF73-89E092CDD130}">
          <x14:formula1>
            <xm:f>Parameters!$I$4:$I$18</xm:f>
          </x14:formula1>
          <xm:sqref>M9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75AC0-863E-7F4A-9795-F8BD9306DBC0}">
  <sheetPr>
    <tabColor rgb="FFF5B8A4"/>
  </sheetPr>
  <dimension ref="B1:I85"/>
  <sheetViews>
    <sheetView showGridLines="0" zoomScaleNormal="100" workbookViewId="0">
      <selection activeCell="E11" sqref="E11"/>
    </sheetView>
  </sheetViews>
  <sheetFormatPr defaultColWidth="8.7109375" defaultRowHeight="15"/>
  <cols>
    <col min="1" max="1" width="4.85546875" customWidth="1"/>
    <col min="2" max="2" width="4.7109375" customWidth="1"/>
    <col min="3" max="3" width="35.7109375" customWidth="1"/>
    <col min="4" max="4" width="23.7109375" customWidth="1"/>
    <col min="5" max="5" width="22.7109375" customWidth="1"/>
    <col min="6" max="6" width="16.140625" customWidth="1"/>
    <col min="7" max="7" width="37.140625" customWidth="1"/>
    <col min="9" max="9" width="34.28515625" customWidth="1"/>
  </cols>
  <sheetData>
    <row r="1" spans="2:9" ht="7.9" customHeight="1"/>
    <row r="2" spans="2:9" ht="42" customHeight="1">
      <c r="B2" s="103" t="s">
        <v>173</v>
      </c>
      <c r="C2" s="104"/>
      <c r="D2" s="104"/>
      <c r="E2" s="104"/>
      <c r="F2" s="104"/>
      <c r="G2" s="104"/>
    </row>
    <row r="3" spans="2:9" ht="10.15" customHeight="1"/>
    <row r="4" spans="2:9" ht="27" customHeight="1">
      <c r="B4" s="149" t="s">
        <v>174</v>
      </c>
      <c r="C4" s="149"/>
      <c r="D4" s="149"/>
      <c r="E4" s="149"/>
      <c r="F4" s="149"/>
      <c r="G4" s="149"/>
    </row>
    <row r="6" spans="2:9" ht="45">
      <c r="C6" s="72" t="s">
        <v>84</v>
      </c>
      <c r="D6" s="72" t="s">
        <v>86</v>
      </c>
      <c r="E6" s="72" t="s">
        <v>87</v>
      </c>
      <c r="F6" s="73" t="s">
        <v>175</v>
      </c>
      <c r="G6" s="72" t="s">
        <v>88</v>
      </c>
      <c r="I6" s="17" t="s">
        <v>80</v>
      </c>
    </row>
    <row r="7" spans="2:9" ht="15.75">
      <c r="C7" s="143" t="s">
        <v>176</v>
      </c>
      <c r="D7" s="144"/>
      <c r="E7" s="144"/>
      <c r="F7" s="144"/>
      <c r="G7" s="145"/>
    </row>
    <row r="8" spans="2:9">
      <c r="C8" s="38" t="s">
        <v>177</v>
      </c>
      <c r="D8" s="7"/>
      <c r="E8" s="7"/>
      <c r="F8" s="7"/>
      <c r="G8" s="7"/>
    </row>
    <row r="9" spans="2:9">
      <c r="C9" s="18" t="s">
        <v>178</v>
      </c>
      <c r="D9" s="69"/>
      <c r="E9" s="69"/>
      <c r="F9" s="69"/>
      <c r="G9" s="69"/>
    </row>
    <row r="10" spans="2:9" ht="30">
      <c r="C10" s="18" t="s">
        <v>179</v>
      </c>
      <c r="D10" s="69"/>
      <c r="E10" s="69"/>
      <c r="F10" s="69"/>
      <c r="G10" s="69"/>
    </row>
    <row r="11" spans="2:9">
      <c r="C11" s="18" t="s">
        <v>180</v>
      </c>
      <c r="D11" s="69"/>
      <c r="E11" s="69"/>
      <c r="F11" s="69"/>
      <c r="G11" s="69"/>
    </row>
    <row r="12" spans="2:9">
      <c r="C12" s="18" t="s">
        <v>181</v>
      </c>
      <c r="D12" s="69"/>
      <c r="E12" s="69"/>
      <c r="F12" s="69"/>
      <c r="G12" s="69"/>
    </row>
    <row r="13" spans="2:9">
      <c r="C13" s="18" t="s">
        <v>182</v>
      </c>
      <c r="D13" s="69"/>
      <c r="E13" s="69"/>
      <c r="F13" s="69"/>
      <c r="G13" s="69"/>
    </row>
    <row r="14" spans="2:9">
      <c r="C14" s="18"/>
      <c r="D14" s="7"/>
      <c r="E14" s="7"/>
      <c r="F14" s="7"/>
      <c r="G14" s="7"/>
    </row>
    <row r="15" spans="2:9">
      <c r="C15" s="38" t="s">
        <v>183</v>
      </c>
      <c r="D15" s="7"/>
      <c r="E15" s="7"/>
      <c r="F15" s="7"/>
      <c r="G15" s="7"/>
    </row>
    <row r="16" spans="2:9">
      <c r="C16" s="18" t="s">
        <v>184</v>
      </c>
      <c r="D16" s="69"/>
      <c r="E16" s="69"/>
      <c r="F16" s="69"/>
      <c r="G16" s="69"/>
    </row>
    <row r="17" spans="3:7">
      <c r="C17" s="18" t="s">
        <v>185</v>
      </c>
      <c r="D17" s="69"/>
      <c r="E17" s="69"/>
      <c r="F17" s="69"/>
      <c r="G17" s="69"/>
    </row>
    <row r="18" spans="3:7">
      <c r="C18" s="18" t="s">
        <v>186</v>
      </c>
      <c r="D18" s="69"/>
      <c r="E18" s="69"/>
      <c r="F18" s="69"/>
      <c r="G18" s="69"/>
    </row>
    <row r="19" spans="3:7">
      <c r="C19" s="18"/>
      <c r="D19" s="7"/>
      <c r="E19" s="7"/>
      <c r="F19" s="7"/>
      <c r="G19" s="7"/>
    </row>
    <row r="20" spans="3:7">
      <c r="C20" s="38" t="s">
        <v>187</v>
      </c>
      <c r="D20" s="7"/>
      <c r="E20" s="7"/>
      <c r="F20" s="7"/>
      <c r="G20" s="7"/>
    </row>
    <row r="21" spans="3:7">
      <c r="C21" s="18" t="s">
        <v>188</v>
      </c>
      <c r="D21" s="69"/>
      <c r="E21" s="69"/>
      <c r="F21" s="69"/>
      <c r="G21" s="69"/>
    </row>
    <row r="22" spans="3:7">
      <c r="C22" s="18" t="s">
        <v>189</v>
      </c>
      <c r="D22" s="69"/>
      <c r="E22" s="69"/>
      <c r="F22" s="69"/>
      <c r="G22" s="69"/>
    </row>
    <row r="23" spans="3:7">
      <c r="C23" s="18" t="s">
        <v>190</v>
      </c>
      <c r="D23" s="69"/>
      <c r="E23" s="69"/>
      <c r="F23" s="69"/>
      <c r="G23" s="69"/>
    </row>
    <row r="24" spans="3:7">
      <c r="C24" s="18" t="s">
        <v>191</v>
      </c>
      <c r="D24" s="69"/>
      <c r="E24" s="69"/>
      <c r="F24" s="69"/>
      <c r="G24" s="69"/>
    </row>
    <row r="25" spans="3:7">
      <c r="C25" s="18" t="s">
        <v>192</v>
      </c>
      <c r="D25" s="69"/>
      <c r="E25" s="69"/>
      <c r="F25" s="69"/>
      <c r="G25" s="69"/>
    </row>
    <row r="26" spans="3:7">
      <c r="C26" s="18" t="s">
        <v>193</v>
      </c>
      <c r="D26" s="69"/>
      <c r="E26" s="69"/>
      <c r="F26" s="69"/>
      <c r="G26" s="69"/>
    </row>
    <row r="27" spans="3:7">
      <c r="C27" s="18" t="s">
        <v>194</v>
      </c>
      <c r="D27" s="69"/>
      <c r="E27" s="69"/>
      <c r="F27" s="69"/>
      <c r="G27" s="69"/>
    </row>
    <row r="28" spans="3:7">
      <c r="C28" s="18"/>
      <c r="D28" s="7"/>
      <c r="E28" s="7"/>
      <c r="F28" s="7"/>
      <c r="G28" s="7"/>
    </row>
    <row r="29" spans="3:7" ht="15.75">
      <c r="C29" s="146" t="s">
        <v>195</v>
      </c>
      <c r="D29" s="147"/>
      <c r="E29" s="147"/>
      <c r="F29" s="147"/>
      <c r="G29" s="148"/>
    </row>
    <row r="30" spans="3:7">
      <c r="C30" s="38" t="s">
        <v>196</v>
      </c>
      <c r="D30" s="7"/>
      <c r="E30" s="7"/>
      <c r="F30" s="7"/>
      <c r="G30" s="7"/>
    </row>
    <row r="31" spans="3:7">
      <c r="C31" s="18" t="s">
        <v>197</v>
      </c>
      <c r="D31" s="69"/>
      <c r="E31" s="69"/>
      <c r="F31" s="69"/>
      <c r="G31" s="69"/>
    </row>
    <row r="32" spans="3:7">
      <c r="C32" s="18" t="s">
        <v>198</v>
      </c>
      <c r="D32" s="69"/>
      <c r="E32" s="69"/>
      <c r="F32" s="69"/>
      <c r="G32" s="69"/>
    </row>
    <row r="33" spans="3:7" ht="30">
      <c r="C33" s="18" t="s">
        <v>199</v>
      </c>
      <c r="D33" s="69"/>
      <c r="E33" s="69"/>
      <c r="F33" s="69"/>
      <c r="G33" s="69"/>
    </row>
    <row r="34" spans="3:7">
      <c r="C34" s="18" t="s">
        <v>200</v>
      </c>
      <c r="D34" s="69"/>
      <c r="E34" s="69"/>
      <c r="F34" s="69"/>
      <c r="G34" s="69"/>
    </row>
    <row r="35" spans="3:7">
      <c r="C35" s="18" t="s">
        <v>201</v>
      </c>
      <c r="D35" s="69"/>
      <c r="E35" s="69"/>
      <c r="F35" s="69"/>
      <c r="G35" s="69"/>
    </row>
    <row r="36" spans="3:7">
      <c r="C36" s="18" t="s">
        <v>202</v>
      </c>
      <c r="D36" s="69"/>
      <c r="E36" s="69"/>
      <c r="F36" s="69"/>
      <c r="G36" s="69"/>
    </row>
    <row r="37" spans="3:7">
      <c r="C37" s="18" t="s">
        <v>203</v>
      </c>
      <c r="D37" s="69"/>
      <c r="E37" s="69"/>
      <c r="F37" s="69"/>
      <c r="G37" s="69"/>
    </row>
    <row r="38" spans="3:7">
      <c r="C38" s="7"/>
    </row>
    <row r="39" spans="3:7">
      <c r="C39" s="38" t="s">
        <v>204</v>
      </c>
      <c r="D39" s="7"/>
      <c r="E39" s="7"/>
      <c r="F39" s="7"/>
      <c r="G39" s="7"/>
    </row>
    <row r="40" spans="3:7">
      <c r="C40" s="18" t="s">
        <v>205</v>
      </c>
      <c r="D40" s="69"/>
      <c r="E40" s="69"/>
      <c r="F40" s="69"/>
      <c r="G40" s="69"/>
    </row>
    <row r="41" spans="3:7" ht="30">
      <c r="C41" s="18" t="s">
        <v>206</v>
      </c>
      <c r="D41" s="69"/>
      <c r="E41" s="69"/>
      <c r="F41" s="69"/>
      <c r="G41" s="69"/>
    </row>
    <row r="42" spans="3:7">
      <c r="C42" s="18" t="s">
        <v>207</v>
      </c>
      <c r="D42" s="69"/>
      <c r="E42" s="69"/>
      <c r="F42" s="69"/>
      <c r="G42" s="69"/>
    </row>
    <row r="43" spans="3:7">
      <c r="C43" s="18" t="s">
        <v>208</v>
      </c>
      <c r="D43" s="69"/>
      <c r="E43" s="69"/>
      <c r="F43" s="69"/>
      <c r="G43" s="69"/>
    </row>
    <row r="44" spans="3:7">
      <c r="C44" s="18" t="s">
        <v>209</v>
      </c>
      <c r="D44" s="69"/>
      <c r="E44" s="69"/>
      <c r="F44" s="69"/>
      <c r="G44" s="69"/>
    </row>
    <row r="45" spans="3:7">
      <c r="C45" s="18" t="s">
        <v>210</v>
      </c>
      <c r="D45" s="69"/>
      <c r="E45" s="69"/>
      <c r="F45" s="69"/>
      <c r="G45" s="69"/>
    </row>
    <row r="46" spans="3:7">
      <c r="C46" s="18"/>
      <c r="D46" s="7"/>
      <c r="E46" s="7"/>
      <c r="F46" s="7"/>
      <c r="G46" s="7"/>
    </row>
    <row r="47" spans="3:7">
      <c r="C47" s="38" t="s">
        <v>211</v>
      </c>
      <c r="D47" s="7"/>
      <c r="E47" s="7"/>
      <c r="F47" s="7"/>
      <c r="G47" s="7"/>
    </row>
    <row r="48" spans="3:7" ht="30">
      <c r="C48" s="18" t="s">
        <v>212</v>
      </c>
      <c r="D48" s="69"/>
      <c r="E48" s="69"/>
      <c r="F48" s="69"/>
      <c r="G48" s="69"/>
    </row>
    <row r="49" spans="3:7">
      <c r="C49" s="18" t="s">
        <v>213</v>
      </c>
      <c r="D49" s="69"/>
      <c r="E49" s="69"/>
      <c r="F49" s="69"/>
      <c r="G49" s="69"/>
    </row>
    <row r="50" spans="3:7">
      <c r="C50" s="18"/>
      <c r="D50" s="69"/>
      <c r="E50" s="69"/>
      <c r="F50" s="69"/>
      <c r="G50" s="69"/>
    </row>
    <row r="51" spans="3:7">
      <c r="C51" s="38" t="s">
        <v>214</v>
      </c>
      <c r="D51" s="69"/>
      <c r="E51" s="69"/>
      <c r="F51" s="69"/>
      <c r="G51" s="69"/>
    </row>
    <row r="52" spans="3:7">
      <c r="C52" s="18" t="s">
        <v>215</v>
      </c>
      <c r="D52" s="69"/>
      <c r="E52" s="69"/>
      <c r="F52" s="69"/>
      <c r="G52" s="69"/>
    </row>
    <row r="53" spans="3:7">
      <c r="C53" s="18" t="s">
        <v>216</v>
      </c>
      <c r="D53" s="69"/>
      <c r="E53" s="69"/>
      <c r="F53" s="69"/>
      <c r="G53" s="69"/>
    </row>
    <row r="54" spans="3:7">
      <c r="C54" s="18" t="s">
        <v>217</v>
      </c>
      <c r="D54" s="69"/>
      <c r="E54" s="69"/>
      <c r="F54" s="69"/>
      <c r="G54" s="69"/>
    </row>
    <row r="55" spans="3:7">
      <c r="C55" s="18"/>
      <c r="D55" s="7"/>
      <c r="E55" s="7"/>
      <c r="F55" s="7"/>
      <c r="G55" s="7"/>
    </row>
    <row r="56" spans="3:7">
      <c r="C56" s="18" t="s">
        <v>96</v>
      </c>
      <c r="D56" s="69"/>
      <c r="E56" s="69"/>
      <c r="F56" s="69"/>
      <c r="G56" s="69"/>
    </row>
    <row r="57" spans="3:7">
      <c r="C57" s="18"/>
      <c r="D57" s="7"/>
      <c r="E57" s="7"/>
      <c r="F57" s="7"/>
      <c r="G57" s="7"/>
    </row>
    <row r="58" spans="3:7">
      <c r="C58" s="1"/>
    </row>
    <row r="59" spans="3:7">
      <c r="C59" s="112"/>
      <c r="D59" s="112"/>
      <c r="E59" s="112"/>
      <c r="F59" s="16"/>
    </row>
    <row r="60" spans="3:7">
      <c r="C60" s="112"/>
      <c r="D60" s="112"/>
      <c r="E60" s="112"/>
      <c r="F60" s="16"/>
    </row>
    <row r="61" spans="3:7">
      <c r="C61" s="111"/>
      <c r="D61" s="111"/>
      <c r="E61" s="111"/>
      <c r="F61" s="16"/>
    </row>
    <row r="62" spans="3:7">
      <c r="C62" s="112"/>
      <c r="D62" s="112"/>
      <c r="E62" s="112"/>
      <c r="F62" s="16"/>
    </row>
    <row r="63" spans="3:7">
      <c r="C63" s="1"/>
    </row>
    <row r="64" spans="3:7">
      <c r="C64" s="1"/>
    </row>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row r="75" spans="3:3">
      <c r="C75" s="1"/>
    </row>
    <row r="76" spans="3:3">
      <c r="C76" s="1"/>
    </row>
    <row r="77" spans="3:3">
      <c r="C77" s="1"/>
    </row>
    <row r="78" spans="3:3">
      <c r="C78" s="1"/>
    </row>
    <row r="79" spans="3:3">
      <c r="C79" s="1"/>
    </row>
    <row r="80" spans="3:3">
      <c r="C80" s="1"/>
    </row>
    <row r="81" spans="3:3">
      <c r="C81" s="1"/>
    </row>
    <row r="82" spans="3:3">
      <c r="C82" s="1"/>
    </row>
    <row r="83" spans="3:3">
      <c r="C83" s="1"/>
    </row>
    <row r="84" spans="3:3">
      <c r="C84" s="1"/>
    </row>
    <row r="85" spans="3:3">
      <c r="C85" s="1"/>
    </row>
  </sheetData>
  <dataConsolidate/>
  <mergeCells count="8">
    <mergeCell ref="C60:E60"/>
    <mergeCell ref="C61:E61"/>
    <mergeCell ref="C62:E62"/>
    <mergeCell ref="C59:E59"/>
    <mergeCell ref="B2:G2"/>
    <mergeCell ref="C7:G7"/>
    <mergeCell ref="C29:G29"/>
    <mergeCell ref="B4:G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CF95-2B00-45B8-8B28-329A4E29B321}">
  <sheetPr>
    <tabColor rgb="FFF5B8A4"/>
  </sheetPr>
  <dimension ref="A2:N33"/>
  <sheetViews>
    <sheetView showGridLines="0" zoomScaleNormal="100" workbookViewId="0">
      <selection activeCell="K19" sqref="K19"/>
    </sheetView>
  </sheetViews>
  <sheetFormatPr defaultColWidth="8.7109375" defaultRowHeight="15"/>
  <cols>
    <col min="1" max="1" width="4.85546875" customWidth="1"/>
    <col min="2" max="2" width="26" style="1" customWidth="1"/>
    <col min="4" max="4" width="9.7109375" customWidth="1"/>
    <col min="7" max="7" width="13.7109375" customWidth="1"/>
    <col min="8" max="8" width="4" customWidth="1"/>
    <col min="9" max="9" width="13" customWidth="1"/>
    <col min="11" max="11" width="34.28515625" customWidth="1"/>
    <col min="12" max="12" width="23.7109375" customWidth="1"/>
  </cols>
  <sheetData>
    <row r="2" spans="1:11" ht="21" customHeight="1">
      <c r="A2" s="4"/>
      <c r="B2" s="150" t="s">
        <v>218</v>
      </c>
      <c r="C2" s="150"/>
      <c r="D2" s="150"/>
      <c r="E2" s="150"/>
      <c r="F2" s="150"/>
      <c r="G2" s="150"/>
      <c r="H2" s="150"/>
      <c r="I2" s="150"/>
    </row>
    <row r="3" spans="1:11" ht="21" customHeight="1">
      <c r="A3" s="4"/>
      <c r="B3" s="150"/>
      <c r="C3" s="150"/>
      <c r="D3" s="150"/>
      <c r="E3" s="150"/>
      <c r="F3" s="150"/>
      <c r="G3" s="150"/>
      <c r="H3" s="150"/>
      <c r="I3" s="150"/>
    </row>
    <row r="5" spans="1:11">
      <c r="B5" s="69" t="s">
        <v>219</v>
      </c>
    </row>
    <row r="6" spans="1:11" s="11" customFormat="1" ht="33.75">
      <c r="B6" s="41"/>
      <c r="C6" s="151" t="s">
        <v>220</v>
      </c>
      <c r="D6" s="151"/>
      <c r="E6" s="151"/>
      <c r="G6" s="12" t="s">
        <v>221</v>
      </c>
      <c r="I6" s="12" t="s">
        <v>222</v>
      </c>
      <c r="K6" s="17" t="s">
        <v>80</v>
      </c>
    </row>
    <row r="7" spans="1:11" s="2" customFormat="1" ht="30">
      <c r="B7" s="3" t="s">
        <v>223</v>
      </c>
      <c r="C7" s="14" t="s">
        <v>224</v>
      </c>
      <c r="D7" s="14" t="s">
        <v>225</v>
      </c>
      <c r="E7" s="14" t="s">
        <v>226</v>
      </c>
      <c r="G7" s="14" t="s">
        <v>227</v>
      </c>
      <c r="I7" s="14" t="s">
        <v>228</v>
      </c>
    </row>
    <row r="8" spans="1:11">
      <c r="B8" s="8" t="s">
        <v>5</v>
      </c>
      <c r="C8" s="98">
        <v>100</v>
      </c>
      <c r="D8" s="98">
        <v>10</v>
      </c>
      <c r="E8" s="98">
        <v>50</v>
      </c>
      <c r="G8" s="98">
        <v>20</v>
      </c>
      <c r="H8" s="36"/>
      <c r="I8" s="98">
        <v>18</v>
      </c>
    </row>
    <row r="9" spans="1:11">
      <c r="B9" s="8" t="s">
        <v>229</v>
      </c>
      <c r="C9" s="99">
        <v>0.2</v>
      </c>
      <c r="D9" s="99">
        <v>0.1</v>
      </c>
      <c r="E9" s="99">
        <v>0.1</v>
      </c>
      <c r="G9" s="99">
        <v>0.1</v>
      </c>
      <c r="H9" s="36"/>
      <c r="I9" s="99">
        <v>0.1</v>
      </c>
    </row>
    <row r="10" spans="1:11">
      <c r="B10" s="8" t="s">
        <v>230</v>
      </c>
      <c r="C10" s="99">
        <v>0.1</v>
      </c>
      <c r="D10" s="99">
        <v>0.125</v>
      </c>
      <c r="E10" s="99">
        <v>0.15</v>
      </c>
      <c r="G10" s="99">
        <v>0.1</v>
      </c>
      <c r="H10" s="36"/>
      <c r="I10" s="99">
        <v>0.1</v>
      </c>
    </row>
    <row r="11" spans="1:11">
      <c r="B11" s="8" t="s">
        <v>231</v>
      </c>
      <c r="C11" s="99">
        <v>0.22</v>
      </c>
      <c r="D11" s="99">
        <v>0.22</v>
      </c>
      <c r="E11" s="99">
        <v>0.22</v>
      </c>
      <c r="G11" s="99">
        <v>0.22</v>
      </c>
      <c r="H11" s="36"/>
      <c r="I11" s="99">
        <v>0.1</v>
      </c>
    </row>
    <row r="12" spans="1:11">
      <c r="B12" s="9" t="s">
        <v>232</v>
      </c>
      <c r="C12" s="98">
        <v>3</v>
      </c>
      <c r="D12" s="98">
        <v>1</v>
      </c>
      <c r="E12" s="98">
        <v>1</v>
      </c>
      <c r="G12" s="98">
        <v>1</v>
      </c>
      <c r="H12" s="36"/>
      <c r="I12" s="98">
        <v>1</v>
      </c>
    </row>
    <row r="13" spans="1:11">
      <c r="B13" s="8"/>
      <c r="C13" s="40"/>
      <c r="D13" s="40"/>
      <c r="E13" s="40"/>
      <c r="G13" s="45"/>
      <c r="H13" s="36"/>
      <c r="I13" s="45"/>
    </row>
    <row r="14" spans="1:11" ht="16.149999999999999" customHeight="1">
      <c r="B14" s="152" t="s">
        <v>233</v>
      </c>
      <c r="C14" s="153"/>
      <c r="D14" s="153"/>
      <c r="E14" s="154"/>
      <c r="G14" s="49"/>
      <c r="H14" s="36"/>
      <c r="I14" s="49"/>
    </row>
    <row r="15" spans="1:11">
      <c r="B15" s="46" t="s">
        <v>234</v>
      </c>
      <c r="C15" s="53">
        <f>C8</f>
        <v>100</v>
      </c>
      <c r="D15" s="53">
        <f t="shared" ref="D15:E15" si="0">D8</f>
        <v>10</v>
      </c>
      <c r="E15" s="53">
        <f t="shared" si="0"/>
        <v>50</v>
      </c>
      <c r="G15" s="53">
        <f t="shared" ref="G15" si="1">G8</f>
        <v>20</v>
      </c>
      <c r="H15" s="36"/>
      <c r="I15" s="53">
        <f t="shared" ref="I15" si="2">I8</f>
        <v>18</v>
      </c>
    </row>
    <row r="16" spans="1:11">
      <c r="B16" s="9" t="s">
        <v>235</v>
      </c>
      <c r="C16" s="54">
        <f>C8*C9</f>
        <v>20</v>
      </c>
      <c r="D16" s="54">
        <f t="shared" ref="D16:I16" si="3">D8*D9</f>
        <v>1</v>
      </c>
      <c r="E16" s="54">
        <f t="shared" si="3"/>
        <v>5</v>
      </c>
      <c r="G16" s="40">
        <f t="shared" si="3"/>
        <v>2</v>
      </c>
      <c r="H16" s="36"/>
      <c r="I16" s="40">
        <f t="shared" si="3"/>
        <v>1.8</v>
      </c>
    </row>
    <row r="17" spans="2:14" ht="30">
      <c r="B17" s="8" t="s">
        <v>236</v>
      </c>
      <c r="C17" s="5">
        <f>C15-C16</f>
        <v>80</v>
      </c>
      <c r="D17" s="5">
        <f t="shared" ref="D17:I17" si="4">D15-D16</f>
        <v>9</v>
      </c>
      <c r="E17" s="5">
        <f t="shared" si="4"/>
        <v>45</v>
      </c>
      <c r="G17" s="5">
        <f t="shared" si="4"/>
        <v>18</v>
      </c>
      <c r="H17" s="36"/>
      <c r="I17" s="5">
        <f t="shared" si="4"/>
        <v>16.2</v>
      </c>
      <c r="N17" s="10"/>
    </row>
    <row r="18" spans="2:14">
      <c r="B18" s="9" t="s">
        <v>237</v>
      </c>
      <c r="C18" s="6">
        <f>IF(C8&lt;&gt;0,ROUND(C17/C8,4),0)</f>
        <v>0.8</v>
      </c>
      <c r="D18" s="6">
        <f t="shared" ref="D18:I18" si="5">IF(D8&lt;&gt;0,ROUND(D17/D8,4),0)</f>
        <v>0.9</v>
      </c>
      <c r="E18" s="6">
        <f t="shared" si="5"/>
        <v>0.9</v>
      </c>
      <c r="G18" s="6">
        <f t="shared" si="5"/>
        <v>0.9</v>
      </c>
      <c r="H18" s="36"/>
      <c r="I18" s="6">
        <f t="shared" si="5"/>
        <v>0.9</v>
      </c>
      <c r="N18" s="10"/>
    </row>
    <row r="19" spans="2:14">
      <c r="B19" s="50" t="s">
        <v>238</v>
      </c>
      <c r="C19" s="51">
        <f>C17-C20</f>
        <v>64.180000000000007</v>
      </c>
      <c r="D19" s="51">
        <f t="shared" ref="D19:I19" si="6">D17-D20</f>
        <v>6.4</v>
      </c>
      <c r="E19" s="51">
        <f t="shared" si="6"/>
        <v>34.380000000000003</v>
      </c>
      <c r="G19" s="51">
        <f t="shared" si="6"/>
        <v>14.44</v>
      </c>
      <c r="H19" s="52"/>
      <c r="I19" s="51">
        <f t="shared" si="6"/>
        <v>13.2</v>
      </c>
      <c r="N19" s="10"/>
    </row>
    <row r="20" spans="2:14">
      <c r="B20" s="9" t="s">
        <v>121</v>
      </c>
      <c r="C20" s="55">
        <f>C21+C22</f>
        <v>15.82</v>
      </c>
      <c r="D20" s="55">
        <f>D21+D22</f>
        <v>2.6</v>
      </c>
      <c r="E20" s="55">
        <f t="shared" ref="E20:I20" si="7">E21+E22</f>
        <v>10.62</v>
      </c>
      <c r="G20" s="55">
        <f t="shared" si="7"/>
        <v>3.56</v>
      </c>
      <c r="H20" s="52"/>
      <c r="I20" s="55">
        <f t="shared" si="7"/>
        <v>3</v>
      </c>
      <c r="N20" s="10"/>
    </row>
    <row r="21" spans="2:14">
      <c r="B21" s="9" t="s">
        <v>239</v>
      </c>
      <c r="C21" s="48">
        <f>C12</f>
        <v>3</v>
      </c>
      <c r="D21" s="48">
        <f t="shared" ref="D21:E21" si="8">D12</f>
        <v>1</v>
      </c>
      <c r="E21" s="48">
        <f t="shared" si="8"/>
        <v>1</v>
      </c>
      <c r="G21" s="48">
        <f t="shared" ref="G21" si="9">G12</f>
        <v>1</v>
      </c>
      <c r="H21" s="36"/>
      <c r="I21" s="48">
        <f t="shared" ref="I21" si="10">I12</f>
        <v>1</v>
      </c>
      <c r="N21" s="10"/>
    </row>
    <row r="22" spans="2:14">
      <c r="B22" s="9" t="s">
        <v>240</v>
      </c>
      <c r="C22" s="5">
        <f>IF(C11&lt;&gt;0,ROUND(C23/(1-C11),2),0)</f>
        <v>12.82</v>
      </c>
      <c r="D22" s="5">
        <f t="shared" ref="D22:I22" si="11">IF(D11&lt;&gt;0,ROUND(D23/(1-D11),2),0)</f>
        <v>1.6</v>
      </c>
      <c r="E22" s="5">
        <f t="shared" si="11"/>
        <v>9.6199999999999992</v>
      </c>
      <c r="G22" s="5">
        <f t="shared" si="11"/>
        <v>2.56</v>
      </c>
      <c r="H22" s="36"/>
      <c r="I22" s="5">
        <f t="shared" si="11"/>
        <v>2</v>
      </c>
      <c r="N22" s="10"/>
    </row>
    <row r="23" spans="2:14">
      <c r="B23" s="9" t="s">
        <v>122</v>
      </c>
      <c r="C23" s="51">
        <f>C15*C24</f>
        <v>10</v>
      </c>
      <c r="D23" s="51">
        <f>D15*D24</f>
        <v>1.25</v>
      </c>
      <c r="E23" s="51">
        <f>E15*E24</f>
        <v>7.5</v>
      </c>
      <c r="G23" s="51">
        <f>G15*G24</f>
        <v>2</v>
      </c>
      <c r="H23" s="52"/>
      <c r="I23" s="51">
        <f>I15*I24</f>
        <v>1.8</v>
      </c>
      <c r="N23" s="10"/>
    </row>
    <row r="24" spans="2:14">
      <c r="B24" s="8" t="s">
        <v>241</v>
      </c>
      <c r="C24" s="47">
        <f>C10</f>
        <v>0.1</v>
      </c>
      <c r="D24" s="47">
        <f t="shared" ref="D24:E24" si="12">D10</f>
        <v>0.125</v>
      </c>
      <c r="E24" s="47">
        <f t="shared" si="12"/>
        <v>0.15</v>
      </c>
      <c r="G24" s="47">
        <f t="shared" ref="G24" si="13">G10</f>
        <v>0.1</v>
      </c>
      <c r="H24" s="36"/>
      <c r="I24" s="47">
        <f t="shared" ref="I24" si="14">I10</f>
        <v>0.1</v>
      </c>
    </row>
    <row r="25" spans="2:14">
      <c r="B25" s="44"/>
      <c r="C25" s="42"/>
      <c r="D25" s="42"/>
      <c r="E25" s="42"/>
      <c r="G25" s="43"/>
      <c r="H25" s="36"/>
      <c r="I25" s="43"/>
    </row>
    <row r="26" spans="2:14">
      <c r="B26" s="39" t="s">
        <v>242</v>
      </c>
      <c r="C26" s="69"/>
      <c r="D26" s="69"/>
      <c r="E26" s="69"/>
      <c r="G26" s="69"/>
      <c r="H26" s="36"/>
      <c r="I26" s="69"/>
    </row>
    <row r="27" spans="2:14">
      <c r="B27" s="39" t="s">
        <v>243</v>
      </c>
      <c r="C27" s="69"/>
      <c r="D27" s="69"/>
      <c r="E27" s="69"/>
      <c r="G27" s="69"/>
      <c r="H27" s="36"/>
      <c r="I27" s="69"/>
    </row>
    <row r="28" spans="2:14">
      <c r="B28" s="39" t="s">
        <v>244</v>
      </c>
      <c r="C28" s="69"/>
      <c r="D28" s="69"/>
      <c r="E28" s="69"/>
      <c r="G28" s="69"/>
      <c r="H28" s="36"/>
      <c r="I28" s="69"/>
    </row>
    <row r="29" spans="2:14">
      <c r="B29" s="39" t="s">
        <v>245</v>
      </c>
      <c r="C29" s="69"/>
      <c r="D29" s="69"/>
      <c r="E29" s="69"/>
      <c r="G29" s="69"/>
      <c r="H29" s="36"/>
      <c r="I29" s="69"/>
    </row>
    <row r="30" spans="2:14">
      <c r="B30" s="39" t="s">
        <v>246</v>
      </c>
      <c r="C30" s="69"/>
      <c r="D30" s="69"/>
      <c r="E30" s="69"/>
      <c r="G30" s="69"/>
      <c r="H30" s="36"/>
      <c r="I30" s="69"/>
    </row>
    <row r="33" spans="2:2">
      <c r="B33" s="58" t="s">
        <v>247</v>
      </c>
    </row>
  </sheetData>
  <mergeCells count="3">
    <mergeCell ref="B2:I3"/>
    <mergeCell ref="C6:E6"/>
    <mergeCell ref="B14:E14"/>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00C5-DC42-224B-B7F1-F4F801B4E729}">
  <sheetPr>
    <tabColor rgb="FFF5B8A4"/>
  </sheetPr>
  <dimension ref="A2:M29"/>
  <sheetViews>
    <sheetView showGridLines="0" topLeftCell="A3" zoomScale="110" zoomScaleNormal="110" workbookViewId="0">
      <selection activeCell="E30" sqref="E30"/>
    </sheetView>
  </sheetViews>
  <sheetFormatPr defaultColWidth="8.7109375" defaultRowHeight="15"/>
  <cols>
    <col min="1" max="1" width="3.28515625" customWidth="1"/>
    <col min="2" max="2" width="23" style="1" bestFit="1" customWidth="1"/>
    <col min="3" max="3" width="20.7109375" style="1" customWidth="1"/>
    <col min="4" max="4" width="17.42578125" style="1" customWidth="1"/>
    <col min="5" max="6" width="18.140625" style="1" customWidth="1"/>
    <col min="7" max="7" width="17.7109375" customWidth="1"/>
    <col min="8" max="8" width="19.42578125" customWidth="1"/>
    <col min="9" max="9" width="13.42578125" customWidth="1"/>
    <col min="10" max="10" width="20" customWidth="1"/>
    <col min="11" max="11" width="19.140625" customWidth="1"/>
    <col min="12" max="12" width="12.140625" customWidth="1"/>
    <col min="13" max="13" width="34.28515625" customWidth="1"/>
  </cols>
  <sheetData>
    <row r="2" spans="1:13" ht="21" customHeight="1">
      <c r="A2" s="4"/>
      <c r="B2" s="158" t="s">
        <v>248</v>
      </c>
      <c r="C2" s="159"/>
      <c r="D2" s="159"/>
      <c r="E2" s="159"/>
      <c r="F2" s="159"/>
      <c r="G2" s="159"/>
      <c r="H2" s="159"/>
      <c r="I2" s="159"/>
      <c r="J2" s="159"/>
      <c r="K2" s="159"/>
    </row>
    <row r="3" spans="1:13" ht="21" customHeight="1">
      <c r="A3" s="4"/>
      <c r="B3" s="158"/>
      <c r="C3" s="159"/>
      <c r="D3" s="159"/>
      <c r="E3" s="159"/>
      <c r="F3" s="159"/>
      <c r="G3" s="159"/>
      <c r="H3" s="159"/>
      <c r="I3" s="159"/>
      <c r="J3" s="159"/>
      <c r="K3" s="159"/>
    </row>
    <row r="5" spans="1:13" ht="22.9" customHeight="1">
      <c r="B5" s="149" t="s">
        <v>249</v>
      </c>
      <c r="C5" s="149"/>
      <c r="D5" s="149"/>
      <c r="E5" s="149"/>
      <c r="F5" s="149"/>
      <c r="G5" s="149"/>
      <c r="H5" s="149"/>
      <c r="I5" s="149"/>
      <c r="J5" s="149"/>
      <c r="K5" s="149"/>
    </row>
    <row r="7" spans="1:13" ht="15" customHeight="1">
      <c r="B7" s="113" t="s">
        <v>250</v>
      </c>
      <c r="C7" s="155" t="s">
        <v>130</v>
      </c>
      <c r="D7" s="156"/>
      <c r="E7" s="157"/>
      <c r="F7" s="155" t="s">
        <v>131</v>
      </c>
      <c r="G7" s="156"/>
      <c r="H7" s="157"/>
      <c r="I7" s="155" t="s">
        <v>132</v>
      </c>
      <c r="J7" s="156"/>
      <c r="K7" s="157"/>
      <c r="M7" s="17" t="s">
        <v>80</v>
      </c>
    </row>
    <row r="8" spans="1:13">
      <c r="B8" s="113"/>
      <c r="C8" s="101" t="s">
        <v>134</v>
      </c>
      <c r="D8" s="101" t="s">
        <v>135</v>
      </c>
      <c r="E8" s="101" t="s">
        <v>136</v>
      </c>
      <c r="F8" s="101" t="s">
        <v>134</v>
      </c>
      <c r="G8" s="101" t="s">
        <v>135</v>
      </c>
      <c r="H8" s="101" t="s">
        <v>136</v>
      </c>
      <c r="I8" s="101" t="s">
        <v>134</v>
      </c>
      <c r="J8" s="101" t="s">
        <v>135</v>
      </c>
      <c r="K8" s="101" t="s">
        <v>136</v>
      </c>
    </row>
    <row r="9" spans="1:13">
      <c r="B9" s="100" t="s">
        <v>137</v>
      </c>
      <c r="C9" s="69"/>
      <c r="D9" s="69"/>
      <c r="E9" s="69"/>
      <c r="F9" s="69"/>
      <c r="G9" s="69"/>
      <c r="H9" s="69"/>
      <c r="I9" s="69"/>
      <c r="J9" s="69"/>
      <c r="K9" s="69"/>
    </row>
    <row r="10" spans="1:13">
      <c r="B10" s="100" t="s">
        <v>138</v>
      </c>
      <c r="C10" s="69"/>
      <c r="D10" s="69"/>
      <c r="E10" s="69"/>
      <c r="F10" s="69"/>
      <c r="G10" s="69"/>
      <c r="H10" s="69"/>
      <c r="I10" s="69"/>
      <c r="J10" s="69"/>
      <c r="K10" s="69"/>
    </row>
    <row r="11" spans="1:13">
      <c r="B11" s="100" t="s">
        <v>139</v>
      </c>
      <c r="C11" s="69"/>
      <c r="D11" s="69"/>
      <c r="E11" s="69"/>
      <c r="F11" s="69"/>
      <c r="G11" s="69"/>
      <c r="H11" s="69"/>
      <c r="I11" s="69"/>
      <c r="J11" s="69"/>
      <c r="K11" s="69"/>
    </row>
    <row r="12" spans="1:13">
      <c r="B12" s="100" t="s">
        <v>140</v>
      </c>
      <c r="C12" s="69"/>
      <c r="D12" s="69"/>
      <c r="E12" s="69"/>
      <c r="F12" s="69"/>
      <c r="G12" s="69"/>
      <c r="H12" s="69"/>
      <c r="I12" s="69"/>
      <c r="J12" s="69"/>
      <c r="K12" s="69"/>
    </row>
    <row r="13" spans="1:13">
      <c r="B13" s="100" t="s">
        <v>141</v>
      </c>
      <c r="C13" s="69"/>
      <c r="D13" s="69"/>
      <c r="E13" s="69"/>
      <c r="F13" s="69"/>
      <c r="G13" s="69"/>
      <c r="H13" s="69"/>
      <c r="I13" s="69"/>
      <c r="J13" s="69"/>
      <c r="K13" s="69"/>
    </row>
    <row r="14" spans="1:13">
      <c r="B14"/>
      <c r="C14"/>
      <c r="D14"/>
      <c r="E14"/>
      <c r="F14"/>
    </row>
    <row r="15" spans="1:13">
      <c r="B15" s="113" t="s">
        <v>226</v>
      </c>
      <c r="C15" s="155" t="s">
        <v>130</v>
      </c>
      <c r="D15" s="156"/>
      <c r="E15" s="157"/>
      <c r="F15" s="155" t="s">
        <v>131</v>
      </c>
      <c r="G15" s="156"/>
      <c r="H15" s="157"/>
      <c r="I15" s="155" t="s">
        <v>132</v>
      </c>
      <c r="J15" s="156"/>
      <c r="K15" s="157"/>
    </row>
    <row r="16" spans="1:13">
      <c r="B16" s="113"/>
      <c r="C16" s="101" t="s">
        <v>134</v>
      </c>
      <c r="D16" s="101" t="s">
        <v>135</v>
      </c>
      <c r="E16" s="101" t="s">
        <v>136</v>
      </c>
      <c r="F16" s="101" t="s">
        <v>134</v>
      </c>
      <c r="G16" s="101" t="s">
        <v>135</v>
      </c>
      <c r="H16" s="101" t="s">
        <v>136</v>
      </c>
      <c r="I16" s="101" t="s">
        <v>134</v>
      </c>
      <c r="J16" s="101" t="s">
        <v>135</v>
      </c>
      <c r="K16" s="101" t="s">
        <v>136</v>
      </c>
    </row>
    <row r="17" spans="2:11">
      <c r="B17" s="100" t="s">
        <v>137</v>
      </c>
      <c r="C17" s="69"/>
      <c r="D17" s="69"/>
      <c r="E17" s="69"/>
      <c r="F17" s="69"/>
      <c r="G17" s="69"/>
      <c r="H17" s="69"/>
      <c r="I17" s="69"/>
      <c r="J17" s="69"/>
      <c r="K17" s="69"/>
    </row>
    <row r="18" spans="2:11">
      <c r="B18" s="100" t="s">
        <v>138</v>
      </c>
      <c r="C18" s="69"/>
      <c r="D18" s="69"/>
      <c r="E18" s="69"/>
      <c r="F18" s="69"/>
      <c r="G18" s="69"/>
      <c r="H18" s="69"/>
      <c r="I18" s="69"/>
      <c r="J18" s="69"/>
      <c r="K18" s="69"/>
    </row>
    <row r="19" spans="2:11">
      <c r="B19" s="100" t="s">
        <v>139</v>
      </c>
      <c r="C19" s="69"/>
      <c r="D19" s="69"/>
      <c r="E19" s="69"/>
      <c r="F19" s="69"/>
      <c r="G19" s="69"/>
      <c r="H19" s="69"/>
      <c r="I19" s="69"/>
      <c r="J19" s="69"/>
      <c r="K19" s="69"/>
    </row>
    <row r="20" spans="2:11">
      <c r="B20" s="100" t="s">
        <v>140</v>
      </c>
      <c r="C20" s="69"/>
      <c r="D20" s="69"/>
      <c r="E20" s="69"/>
      <c r="F20" s="69"/>
      <c r="G20" s="69"/>
      <c r="H20" s="69"/>
      <c r="I20" s="69"/>
      <c r="J20" s="69"/>
      <c r="K20" s="69"/>
    </row>
    <row r="21" spans="2:11">
      <c r="B21" s="100" t="s">
        <v>141</v>
      </c>
      <c r="C21" s="69"/>
      <c r="D21" s="69"/>
      <c r="E21" s="69"/>
      <c r="F21" s="69"/>
      <c r="G21" s="69"/>
      <c r="H21" s="69"/>
      <c r="I21" s="69"/>
      <c r="J21" s="69"/>
      <c r="K21" s="69"/>
    </row>
    <row r="23" spans="2:11">
      <c r="B23" s="113" t="s">
        <v>224</v>
      </c>
      <c r="C23" s="155" t="s">
        <v>130</v>
      </c>
      <c r="D23" s="156"/>
      <c r="E23" s="157"/>
      <c r="F23" s="155" t="s">
        <v>131</v>
      </c>
      <c r="G23" s="156"/>
      <c r="H23" s="157"/>
      <c r="I23" s="155" t="s">
        <v>132</v>
      </c>
      <c r="J23" s="156"/>
      <c r="K23" s="157"/>
    </row>
    <row r="24" spans="2:11">
      <c r="B24" s="113"/>
      <c r="C24" s="101" t="s">
        <v>134</v>
      </c>
      <c r="D24" s="101" t="s">
        <v>135</v>
      </c>
      <c r="E24" s="101" t="s">
        <v>136</v>
      </c>
      <c r="F24" s="101" t="s">
        <v>134</v>
      </c>
      <c r="G24" s="101" t="s">
        <v>135</v>
      </c>
      <c r="H24" s="101" t="s">
        <v>136</v>
      </c>
      <c r="I24" s="101" t="s">
        <v>134</v>
      </c>
      <c r="J24" s="101" t="s">
        <v>135</v>
      </c>
      <c r="K24" s="101" t="s">
        <v>136</v>
      </c>
    </row>
    <row r="25" spans="2:11">
      <c r="B25" s="100" t="s">
        <v>137</v>
      </c>
      <c r="C25" s="69"/>
      <c r="D25" s="69"/>
      <c r="E25" s="69"/>
      <c r="F25" s="69"/>
      <c r="G25" s="69"/>
      <c r="H25" s="69"/>
      <c r="I25" s="69"/>
      <c r="J25" s="69"/>
      <c r="K25" s="69"/>
    </row>
    <row r="26" spans="2:11">
      <c r="B26" s="100" t="s">
        <v>138</v>
      </c>
      <c r="C26" s="69"/>
      <c r="D26" s="69"/>
      <c r="E26" s="69"/>
      <c r="F26" s="69"/>
      <c r="G26" s="69"/>
      <c r="H26" s="69"/>
      <c r="I26" s="69"/>
      <c r="J26" s="69"/>
      <c r="K26" s="69"/>
    </row>
    <row r="27" spans="2:11">
      <c r="B27" s="100" t="s">
        <v>139</v>
      </c>
      <c r="C27" s="69"/>
      <c r="D27" s="69"/>
      <c r="E27" s="69"/>
      <c r="F27" s="69"/>
      <c r="G27" s="69"/>
      <c r="H27" s="69"/>
      <c r="I27" s="69"/>
      <c r="J27" s="69"/>
      <c r="K27" s="69"/>
    </row>
    <row r="28" spans="2:11">
      <c r="B28" s="100" t="s">
        <v>140</v>
      </c>
      <c r="C28" s="69"/>
      <c r="D28" s="69"/>
      <c r="E28" s="69"/>
      <c r="F28" s="69"/>
      <c r="G28" s="69"/>
      <c r="H28" s="69"/>
      <c r="I28" s="69"/>
      <c r="J28" s="69"/>
      <c r="K28" s="69"/>
    </row>
    <row r="29" spans="2:11">
      <c r="B29" s="100" t="s">
        <v>141</v>
      </c>
      <c r="C29" s="69"/>
      <c r="D29" s="69"/>
      <c r="E29" s="69"/>
      <c r="F29" s="69"/>
      <c r="G29" s="69"/>
      <c r="H29" s="69"/>
      <c r="I29" s="69"/>
      <c r="J29" s="69"/>
      <c r="K29" s="69"/>
    </row>
  </sheetData>
  <mergeCells count="14">
    <mergeCell ref="B15:B16"/>
    <mergeCell ref="C15:E15"/>
    <mergeCell ref="F15:H15"/>
    <mergeCell ref="I15:K15"/>
    <mergeCell ref="B23:B24"/>
    <mergeCell ref="C23:E23"/>
    <mergeCell ref="F23:H23"/>
    <mergeCell ref="I23:K23"/>
    <mergeCell ref="B7:B8"/>
    <mergeCell ref="F7:H7"/>
    <mergeCell ref="I7:K7"/>
    <mergeCell ref="B2:K3"/>
    <mergeCell ref="B5:K5"/>
    <mergeCell ref="C7:E7"/>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4306-B67D-A843-AD6D-72FFE5503607}">
  <sheetPr>
    <tabColor rgb="FFD6D6D6"/>
    <outlinePr summaryBelow="0" summaryRight="0"/>
  </sheetPr>
  <dimension ref="B1:L962"/>
  <sheetViews>
    <sheetView showGridLines="0" zoomScale="80" zoomScaleNormal="80" workbookViewId="0">
      <selection activeCell="G14" sqref="G14"/>
    </sheetView>
  </sheetViews>
  <sheetFormatPr defaultColWidth="14.42578125" defaultRowHeight="15" customHeight="1"/>
  <cols>
    <col min="1" max="1" width="5" style="20" customWidth="1"/>
    <col min="2" max="2" width="63.28515625" style="20" customWidth="1"/>
    <col min="3" max="3" width="19.7109375" style="20" customWidth="1"/>
    <col min="4" max="4" width="19" style="20" customWidth="1"/>
    <col min="5" max="5" width="23.140625" style="20" customWidth="1"/>
    <col min="6" max="6" width="36.7109375" style="20" customWidth="1"/>
    <col min="7" max="9" width="26.7109375" style="20" customWidth="1"/>
    <col min="10" max="10" width="43.140625" style="20" customWidth="1"/>
    <col min="11" max="11" width="14.42578125" style="20"/>
    <col min="12" max="12" width="34.28515625" style="20" customWidth="1"/>
    <col min="13" max="16384" width="14.42578125" style="20"/>
  </cols>
  <sheetData>
    <row r="1" spans="2:12" ht="18" customHeight="1">
      <c r="J1" s="19"/>
    </row>
    <row r="2" spans="2:12" ht="41.25" customHeight="1">
      <c r="B2" s="160" t="s">
        <v>251</v>
      </c>
      <c r="C2" s="160"/>
      <c r="D2" s="160"/>
      <c r="E2" s="160"/>
      <c r="F2" s="160"/>
      <c r="G2" s="160"/>
      <c r="H2" s="160"/>
      <c r="I2" s="160"/>
      <c r="J2" s="160"/>
    </row>
    <row r="3" spans="2:12" ht="13.9" customHeight="1">
      <c r="B3" s="24"/>
      <c r="C3" s="24"/>
      <c r="D3" s="24"/>
      <c r="E3" s="24"/>
      <c r="F3" s="24"/>
      <c r="G3" s="24"/>
      <c r="H3" s="24"/>
      <c r="I3" s="24"/>
      <c r="J3" s="24"/>
    </row>
    <row r="4" spans="2:12" customFormat="1" ht="25.15" customHeight="1">
      <c r="B4" s="149" t="s">
        <v>252</v>
      </c>
      <c r="C4" s="149"/>
      <c r="D4" s="149"/>
      <c r="E4" s="149"/>
      <c r="F4" s="149"/>
      <c r="G4" s="149"/>
    </row>
    <row r="5" spans="2:12" ht="13.9" customHeight="1">
      <c r="B5" s="24"/>
      <c r="C5" s="24"/>
      <c r="D5" s="24"/>
      <c r="E5" s="24"/>
      <c r="F5" s="24"/>
      <c r="G5" s="24"/>
      <c r="H5" s="24"/>
      <c r="I5" s="24"/>
      <c r="J5" s="24"/>
    </row>
    <row r="6" spans="2:12" s="35" customFormat="1" ht="56.25">
      <c r="B6" s="74" t="s">
        <v>253</v>
      </c>
      <c r="C6" s="74" t="s">
        <v>254</v>
      </c>
      <c r="D6" s="74" t="s">
        <v>255</v>
      </c>
      <c r="E6" s="74" t="s">
        <v>256</v>
      </c>
      <c r="F6" s="74" t="s">
        <v>257</v>
      </c>
      <c r="G6" s="74" t="s">
        <v>258</v>
      </c>
      <c r="H6" s="74" t="s">
        <v>259</v>
      </c>
      <c r="I6" s="74" t="s">
        <v>260</v>
      </c>
      <c r="J6" s="74" t="s">
        <v>261</v>
      </c>
      <c r="L6" s="17" t="s">
        <v>80</v>
      </c>
    </row>
    <row r="7" spans="2:12" ht="63" customHeight="1">
      <c r="B7" s="75"/>
      <c r="C7" s="76"/>
      <c r="D7" s="75"/>
      <c r="E7" s="75"/>
      <c r="F7" s="75"/>
      <c r="G7" s="75"/>
      <c r="H7" s="75"/>
      <c r="I7" s="75"/>
      <c r="J7" s="97"/>
    </row>
    <row r="8" spans="2:12" ht="70.150000000000006" customHeight="1">
      <c r="B8" s="75"/>
      <c r="C8" s="76"/>
      <c r="D8" s="77"/>
      <c r="E8" s="77"/>
      <c r="F8" s="77"/>
      <c r="G8" s="77"/>
      <c r="H8" s="77"/>
      <c r="I8" s="77"/>
      <c r="J8" s="97"/>
    </row>
    <row r="9" spans="2:12" ht="39" customHeight="1">
      <c r="B9" s="21"/>
      <c r="C9" s="22"/>
      <c r="J9" s="19"/>
    </row>
    <row r="10" spans="2:12" ht="39" customHeight="1">
      <c r="B10" s="21"/>
      <c r="C10" s="23"/>
      <c r="J10" s="19"/>
    </row>
    <row r="11" spans="2:12" ht="39" customHeight="1">
      <c r="B11" s="21"/>
      <c r="C11" s="22"/>
      <c r="J11" s="19"/>
    </row>
    <row r="12" spans="2:12" ht="39" customHeight="1">
      <c r="C12" s="23"/>
      <c r="J12" s="19"/>
    </row>
    <row r="13" spans="2:12" ht="39" customHeight="1">
      <c r="C13" s="23"/>
      <c r="J13" s="19"/>
    </row>
    <row r="14" spans="2:12" ht="39" customHeight="1">
      <c r="C14" s="23"/>
      <c r="J14" s="19"/>
    </row>
    <row r="15" spans="2:12" ht="39" customHeight="1">
      <c r="C15" s="23"/>
      <c r="J15" s="19"/>
    </row>
    <row r="16" spans="2:12" ht="39" customHeight="1">
      <c r="C16" s="23"/>
      <c r="J16" s="19"/>
    </row>
    <row r="17" spans="3:10" ht="39" customHeight="1">
      <c r="C17" s="23"/>
      <c r="J17" s="19"/>
    </row>
    <row r="18" spans="3:10" ht="39" customHeight="1">
      <c r="C18" s="23"/>
      <c r="J18" s="19"/>
    </row>
    <row r="19" spans="3:10" ht="39" customHeight="1">
      <c r="C19" s="23"/>
      <c r="J19" s="19"/>
    </row>
    <row r="20" spans="3:10" ht="39" customHeight="1">
      <c r="J20" s="19"/>
    </row>
    <row r="21" spans="3:10" ht="39" customHeight="1">
      <c r="J21" s="19"/>
    </row>
    <row r="22" spans="3:10" ht="39" customHeight="1">
      <c r="J22" s="19"/>
    </row>
    <row r="23" spans="3:10" ht="39" customHeight="1">
      <c r="J23" s="19"/>
    </row>
    <row r="24" spans="3:10" ht="39" customHeight="1">
      <c r="J24" s="19"/>
    </row>
    <row r="25" spans="3:10" ht="39" customHeight="1">
      <c r="J25" s="19"/>
    </row>
    <row r="26" spans="3:10" ht="39" customHeight="1">
      <c r="J26" s="19"/>
    </row>
    <row r="27" spans="3:10" ht="39" customHeight="1">
      <c r="J27" s="19"/>
    </row>
    <row r="28" spans="3:10" ht="39" customHeight="1">
      <c r="J28" s="19"/>
    </row>
    <row r="29" spans="3:10" ht="39" customHeight="1">
      <c r="J29" s="19"/>
    </row>
    <row r="30" spans="3:10" ht="39" customHeight="1">
      <c r="J30" s="19"/>
    </row>
    <row r="31" spans="3:10" ht="39" customHeight="1">
      <c r="J31" s="19"/>
    </row>
    <row r="32" spans="3:10" ht="39" customHeight="1">
      <c r="J32" s="19"/>
    </row>
    <row r="33" spans="10:10" ht="39" customHeight="1">
      <c r="J33" s="19"/>
    </row>
    <row r="34" spans="10:10" ht="39" customHeight="1">
      <c r="J34" s="19"/>
    </row>
    <row r="35" spans="10:10" ht="39" customHeight="1">
      <c r="J35" s="19"/>
    </row>
    <row r="36" spans="10:10" ht="39" customHeight="1">
      <c r="J36" s="19"/>
    </row>
    <row r="37" spans="10:10" ht="39" customHeight="1">
      <c r="J37" s="19"/>
    </row>
    <row r="38" spans="10:10" ht="39" customHeight="1">
      <c r="J38" s="19"/>
    </row>
    <row r="39" spans="10:10" ht="39" customHeight="1">
      <c r="J39" s="19"/>
    </row>
    <row r="40" spans="10:10" ht="39" customHeight="1">
      <c r="J40" s="19"/>
    </row>
    <row r="41" spans="10:10" ht="39" customHeight="1">
      <c r="J41" s="19"/>
    </row>
    <row r="42" spans="10:10" ht="39" customHeight="1">
      <c r="J42" s="19"/>
    </row>
    <row r="43" spans="10:10" ht="39" customHeight="1">
      <c r="J43" s="19"/>
    </row>
    <row r="44" spans="10:10" ht="39" customHeight="1">
      <c r="J44" s="19"/>
    </row>
    <row r="45" spans="10:10" ht="39" customHeight="1">
      <c r="J45" s="19"/>
    </row>
    <row r="46" spans="10:10" ht="39" customHeight="1">
      <c r="J46" s="19"/>
    </row>
    <row r="47" spans="10:10" ht="39" customHeight="1">
      <c r="J47" s="19"/>
    </row>
    <row r="48" spans="10:10" ht="39" customHeight="1">
      <c r="J48" s="19"/>
    </row>
    <row r="49" spans="10:10" ht="39" customHeight="1">
      <c r="J49" s="19"/>
    </row>
    <row r="50" spans="10:10" ht="39" customHeight="1">
      <c r="J50" s="19"/>
    </row>
    <row r="51" spans="10:10" ht="39" customHeight="1">
      <c r="J51" s="19"/>
    </row>
    <row r="52" spans="10:10" ht="39" customHeight="1">
      <c r="J52" s="19"/>
    </row>
    <row r="53" spans="10:10" ht="39" customHeight="1">
      <c r="J53" s="19"/>
    </row>
    <row r="54" spans="10:10" ht="39" customHeight="1">
      <c r="J54" s="19"/>
    </row>
    <row r="55" spans="10:10" ht="39" customHeight="1">
      <c r="J55" s="19"/>
    </row>
    <row r="56" spans="10:10" ht="39" customHeight="1">
      <c r="J56" s="19"/>
    </row>
    <row r="57" spans="10:10" ht="39" customHeight="1">
      <c r="J57" s="19"/>
    </row>
    <row r="58" spans="10:10" ht="39" customHeight="1">
      <c r="J58" s="19"/>
    </row>
    <row r="59" spans="10:10" ht="39" customHeight="1">
      <c r="J59" s="19"/>
    </row>
    <row r="60" spans="10:10" ht="39" customHeight="1">
      <c r="J60" s="19"/>
    </row>
    <row r="61" spans="10:10" ht="39" customHeight="1">
      <c r="J61" s="19"/>
    </row>
    <row r="62" spans="10:10" ht="39" customHeight="1">
      <c r="J62" s="19"/>
    </row>
    <row r="63" spans="10:10" ht="39" customHeight="1">
      <c r="J63" s="19"/>
    </row>
    <row r="64" spans="10:10" ht="39" customHeight="1">
      <c r="J64" s="19"/>
    </row>
    <row r="65" spans="10:10" ht="39" customHeight="1">
      <c r="J65" s="19"/>
    </row>
    <row r="66" spans="10:10" ht="39" customHeight="1">
      <c r="J66" s="19"/>
    </row>
    <row r="67" spans="10:10" ht="39" customHeight="1">
      <c r="J67" s="19"/>
    </row>
    <row r="68" spans="10:10" ht="39" customHeight="1">
      <c r="J68" s="19"/>
    </row>
    <row r="69" spans="10:10" ht="39" customHeight="1">
      <c r="J69" s="19"/>
    </row>
    <row r="70" spans="10:10" ht="39" customHeight="1">
      <c r="J70" s="19"/>
    </row>
    <row r="71" spans="10:10" ht="39" customHeight="1">
      <c r="J71" s="19"/>
    </row>
    <row r="72" spans="10:10" ht="39" customHeight="1">
      <c r="J72" s="19"/>
    </row>
    <row r="73" spans="10:10" ht="39" customHeight="1">
      <c r="J73" s="19"/>
    </row>
    <row r="74" spans="10:10" ht="39" customHeight="1">
      <c r="J74" s="19"/>
    </row>
    <row r="75" spans="10:10" ht="39" customHeight="1">
      <c r="J75" s="19"/>
    </row>
    <row r="76" spans="10:10" ht="39" customHeight="1">
      <c r="J76" s="19"/>
    </row>
    <row r="77" spans="10:10" ht="39" customHeight="1">
      <c r="J77" s="19"/>
    </row>
    <row r="78" spans="10:10" ht="39" customHeight="1">
      <c r="J78" s="19"/>
    </row>
    <row r="79" spans="10:10" ht="39" customHeight="1">
      <c r="J79" s="19"/>
    </row>
    <row r="80" spans="10:10" ht="39" customHeight="1">
      <c r="J80" s="19"/>
    </row>
    <row r="81" spans="10:10" ht="39" customHeight="1">
      <c r="J81" s="19"/>
    </row>
    <row r="82" spans="10:10" ht="39" customHeight="1">
      <c r="J82" s="19"/>
    </row>
    <row r="83" spans="10:10" ht="39" customHeight="1">
      <c r="J83" s="19"/>
    </row>
    <row r="84" spans="10:10" ht="39" customHeight="1">
      <c r="J84" s="19"/>
    </row>
    <row r="85" spans="10:10" ht="39" customHeight="1">
      <c r="J85" s="19"/>
    </row>
    <row r="86" spans="10:10" ht="39" customHeight="1">
      <c r="J86" s="19"/>
    </row>
    <row r="87" spans="10:10" ht="39" customHeight="1">
      <c r="J87" s="19"/>
    </row>
    <row r="88" spans="10:10" ht="39" customHeight="1">
      <c r="J88" s="19"/>
    </row>
    <row r="89" spans="10:10" ht="39" customHeight="1">
      <c r="J89" s="19"/>
    </row>
    <row r="90" spans="10:10" ht="39" customHeight="1">
      <c r="J90" s="19"/>
    </row>
    <row r="91" spans="10:10" ht="39" customHeight="1">
      <c r="J91" s="19"/>
    </row>
    <row r="92" spans="10:10" ht="39" customHeight="1">
      <c r="J92" s="19"/>
    </row>
    <row r="93" spans="10:10" ht="39" customHeight="1">
      <c r="J93" s="19"/>
    </row>
    <row r="94" spans="10:10" ht="39" customHeight="1">
      <c r="J94" s="19"/>
    </row>
    <row r="95" spans="10:10" ht="39" customHeight="1">
      <c r="J95" s="19"/>
    </row>
    <row r="96" spans="10:10" ht="39" customHeight="1">
      <c r="J96" s="19"/>
    </row>
    <row r="97" spans="10:10" ht="39" customHeight="1">
      <c r="J97" s="19"/>
    </row>
    <row r="98" spans="10:10" ht="39" customHeight="1">
      <c r="J98" s="19"/>
    </row>
    <row r="99" spans="10:10" ht="39" customHeight="1">
      <c r="J99" s="19"/>
    </row>
    <row r="100" spans="10:10" ht="39" customHeight="1">
      <c r="J100" s="19"/>
    </row>
    <row r="101" spans="10:10" ht="39" customHeight="1">
      <c r="J101" s="19"/>
    </row>
    <row r="102" spans="10:10" ht="39" customHeight="1">
      <c r="J102" s="19"/>
    </row>
    <row r="103" spans="10:10" ht="39" customHeight="1">
      <c r="J103" s="19"/>
    </row>
    <row r="104" spans="10:10" ht="39" customHeight="1">
      <c r="J104" s="19"/>
    </row>
    <row r="105" spans="10:10" ht="39" customHeight="1">
      <c r="J105" s="19"/>
    </row>
    <row r="106" spans="10:10" ht="39" customHeight="1">
      <c r="J106" s="19"/>
    </row>
    <row r="107" spans="10:10" ht="39" customHeight="1">
      <c r="J107" s="19"/>
    </row>
    <row r="108" spans="10:10" ht="39" customHeight="1">
      <c r="J108" s="19"/>
    </row>
    <row r="109" spans="10:10" ht="39" customHeight="1">
      <c r="J109" s="19"/>
    </row>
    <row r="110" spans="10:10" ht="39" customHeight="1">
      <c r="J110" s="19"/>
    </row>
    <row r="111" spans="10:10" ht="39" customHeight="1">
      <c r="J111" s="19"/>
    </row>
    <row r="112" spans="10:10" ht="39" customHeight="1">
      <c r="J112" s="19"/>
    </row>
    <row r="113" spans="10:10" ht="39" customHeight="1">
      <c r="J113" s="19"/>
    </row>
    <row r="114" spans="10:10" ht="39" customHeight="1">
      <c r="J114" s="19"/>
    </row>
    <row r="115" spans="10:10" ht="39" customHeight="1">
      <c r="J115" s="19"/>
    </row>
    <row r="116" spans="10:10" ht="39" customHeight="1">
      <c r="J116" s="19"/>
    </row>
    <row r="117" spans="10:10" ht="39" customHeight="1">
      <c r="J117" s="19"/>
    </row>
    <row r="118" spans="10:10" ht="39" customHeight="1">
      <c r="J118" s="19"/>
    </row>
    <row r="119" spans="10:10" ht="39" customHeight="1">
      <c r="J119" s="19"/>
    </row>
    <row r="120" spans="10:10" ht="39" customHeight="1">
      <c r="J120" s="19"/>
    </row>
    <row r="121" spans="10:10" ht="39" customHeight="1">
      <c r="J121" s="19"/>
    </row>
    <row r="122" spans="10:10" ht="39" customHeight="1">
      <c r="J122" s="19"/>
    </row>
    <row r="123" spans="10:10" ht="39" customHeight="1">
      <c r="J123" s="19"/>
    </row>
    <row r="124" spans="10:10" ht="39" customHeight="1">
      <c r="J124" s="19"/>
    </row>
    <row r="125" spans="10:10" ht="39" customHeight="1">
      <c r="J125" s="19"/>
    </row>
    <row r="126" spans="10:10" ht="39" customHeight="1">
      <c r="J126" s="19"/>
    </row>
    <row r="127" spans="10:10" ht="39" customHeight="1">
      <c r="J127" s="19"/>
    </row>
    <row r="128" spans="10:10" ht="39" customHeight="1">
      <c r="J128" s="19"/>
    </row>
    <row r="129" spans="10:10" ht="39" customHeight="1">
      <c r="J129" s="19"/>
    </row>
    <row r="130" spans="10:10" ht="39" customHeight="1">
      <c r="J130" s="19"/>
    </row>
    <row r="131" spans="10:10" ht="39" customHeight="1">
      <c r="J131" s="19"/>
    </row>
    <row r="132" spans="10:10" ht="39" customHeight="1">
      <c r="J132" s="19"/>
    </row>
    <row r="133" spans="10:10" ht="39" customHeight="1">
      <c r="J133" s="19"/>
    </row>
    <row r="134" spans="10:10" ht="39" customHeight="1">
      <c r="J134" s="19"/>
    </row>
    <row r="135" spans="10:10" ht="39" customHeight="1">
      <c r="J135" s="19"/>
    </row>
    <row r="136" spans="10:10" ht="39" customHeight="1">
      <c r="J136" s="19"/>
    </row>
    <row r="137" spans="10:10" ht="39" customHeight="1">
      <c r="J137" s="19"/>
    </row>
    <row r="138" spans="10:10" ht="39" customHeight="1">
      <c r="J138" s="19"/>
    </row>
    <row r="139" spans="10:10" ht="39" customHeight="1">
      <c r="J139" s="19"/>
    </row>
    <row r="140" spans="10:10" ht="39" customHeight="1">
      <c r="J140" s="19"/>
    </row>
    <row r="141" spans="10:10" ht="39" customHeight="1">
      <c r="J141" s="19"/>
    </row>
    <row r="142" spans="10:10" ht="39" customHeight="1">
      <c r="J142" s="19"/>
    </row>
    <row r="143" spans="10:10" ht="39" customHeight="1">
      <c r="J143" s="19"/>
    </row>
    <row r="144" spans="10:10" ht="39" customHeight="1">
      <c r="J144" s="19"/>
    </row>
    <row r="145" spans="10:10" ht="39" customHeight="1">
      <c r="J145" s="19"/>
    </row>
    <row r="146" spans="10:10" ht="39" customHeight="1">
      <c r="J146" s="19"/>
    </row>
    <row r="147" spans="10:10" ht="39" customHeight="1">
      <c r="J147" s="19"/>
    </row>
    <row r="148" spans="10:10" ht="39" customHeight="1">
      <c r="J148" s="19"/>
    </row>
    <row r="149" spans="10:10" ht="39" customHeight="1">
      <c r="J149" s="19"/>
    </row>
    <row r="150" spans="10:10" ht="39" customHeight="1">
      <c r="J150" s="19"/>
    </row>
    <row r="151" spans="10:10" ht="39" customHeight="1">
      <c r="J151" s="19"/>
    </row>
    <row r="152" spans="10:10" ht="39" customHeight="1">
      <c r="J152" s="19"/>
    </row>
    <row r="153" spans="10:10" ht="39" customHeight="1">
      <c r="J153" s="19"/>
    </row>
    <row r="154" spans="10:10" ht="39" customHeight="1">
      <c r="J154" s="19"/>
    </row>
    <row r="155" spans="10:10" ht="39" customHeight="1">
      <c r="J155" s="19"/>
    </row>
    <row r="156" spans="10:10" ht="39" customHeight="1">
      <c r="J156" s="19"/>
    </row>
    <row r="157" spans="10:10" ht="39" customHeight="1">
      <c r="J157" s="19"/>
    </row>
    <row r="158" spans="10:10" ht="39" customHeight="1">
      <c r="J158" s="19"/>
    </row>
    <row r="159" spans="10:10" ht="39" customHeight="1">
      <c r="J159" s="19"/>
    </row>
    <row r="160" spans="10:10" ht="39" customHeight="1">
      <c r="J160" s="19"/>
    </row>
    <row r="161" spans="10:10" ht="39" customHeight="1">
      <c r="J161" s="19"/>
    </row>
    <row r="162" spans="10:10" ht="39" customHeight="1">
      <c r="J162" s="19"/>
    </row>
    <row r="163" spans="10:10" ht="39" customHeight="1">
      <c r="J163" s="19"/>
    </row>
    <row r="164" spans="10:10" ht="39" customHeight="1">
      <c r="J164" s="19"/>
    </row>
    <row r="165" spans="10:10" ht="39" customHeight="1">
      <c r="J165" s="19"/>
    </row>
    <row r="166" spans="10:10" ht="39" customHeight="1">
      <c r="J166" s="19"/>
    </row>
    <row r="167" spans="10:10" ht="39" customHeight="1">
      <c r="J167" s="19"/>
    </row>
    <row r="168" spans="10:10" ht="39" customHeight="1">
      <c r="J168" s="19"/>
    </row>
    <row r="169" spans="10:10" ht="39" customHeight="1">
      <c r="J169" s="19"/>
    </row>
    <row r="170" spans="10:10" ht="39" customHeight="1">
      <c r="J170" s="19"/>
    </row>
    <row r="171" spans="10:10" ht="39" customHeight="1">
      <c r="J171" s="19"/>
    </row>
    <row r="172" spans="10:10" ht="39" customHeight="1">
      <c r="J172" s="19"/>
    </row>
    <row r="173" spans="10:10" ht="39" customHeight="1">
      <c r="J173" s="19"/>
    </row>
    <row r="174" spans="10:10" ht="39" customHeight="1">
      <c r="J174" s="19"/>
    </row>
    <row r="175" spans="10:10" ht="39" customHeight="1">
      <c r="J175" s="19"/>
    </row>
    <row r="176" spans="10:10" ht="39" customHeight="1">
      <c r="J176" s="19"/>
    </row>
    <row r="177" spans="10:10" ht="39" customHeight="1">
      <c r="J177" s="19"/>
    </row>
    <row r="178" spans="10:10" ht="39" customHeight="1">
      <c r="J178" s="19"/>
    </row>
    <row r="179" spans="10:10" ht="39" customHeight="1">
      <c r="J179" s="19"/>
    </row>
    <row r="180" spans="10:10" ht="39" customHeight="1">
      <c r="J180" s="19"/>
    </row>
    <row r="181" spans="10:10" ht="39" customHeight="1">
      <c r="J181" s="19"/>
    </row>
    <row r="182" spans="10:10" ht="15.75" customHeight="1">
      <c r="J182" s="19"/>
    </row>
    <row r="183" spans="10:10" ht="15.75" customHeight="1">
      <c r="J183" s="19"/>
    </row>
    <row r="184" spans="10:10" ht="15.75" customHeight="1">
      <c r="J184" s="19"/>
    </row>
    <row r="185" spans="10:10" ht="15.75" customHeight="1">
      <c r="J185" s="19"/>
    </row>
    <row r="186" spans="10:10" ht="15.75" customHeight="1">
      <c r="J186" s="19"/>
    </row>
    <row r="187" spans="10:10" ht="15.75" customHeight="1">
      <c r="J187" s="19"/>
    </row>
    <row r="188" spans="10:10" ht="15.75" customHeight="1">
      <c r="J188" s="19"/>
    </row>
    <row r="189" spans="10:10" ht="15.75" customHeight="1">
      <c r="J189" s="19"/>
    </row>
    <row r="190" spans="10:10" ht="15.75" customHeight="1">
      <c r="J190" s="19"/>
    </row>
    <row r="191" spans="10:10" ht="15.75" customHeight="1">
      <c r="J191" s="19"/>
    </row>
    <row r="192" spans="10:10" ht="15.75" customHeight="1">
      <c r="J192" s="19"/>
    </row>
    <row r="193" spans="10:10" ht="15.75" customHeight="1">
      <c r="J193" s="19"/>
    </row>
    <row r="194" spans="10:10" ht="15.75" customHeight="1">
      <c r="J194" s="19"/>
    </row>
    <row r="195" spans="10:10" ht="15.75" customHeight="1">
      <c r="J195" s="19"/>
    </row>
    <row r="196" spans="10:10" ht="15.75" customHeight="1">
      <c r="J196" s="19"/>
    </row>
    <row r="197" spans="10:10" ht="15.75" customHeight="1">
      <c r="J197" s="19"/>
    </row>
    <row r="198" spans="10:10" ht="15.75" customHeight="1">
      <c r="J198" s="19"/>
    </row>
    <row r="199" spans="10:10" ht="15.75" customHeight="1">
      <c r="J199" s="19"/>
    </row>
    <row r="200" spans="10:10" ht="15.75" customHeight="1">
      <c r="J200" s="19"/>
    </row>
    <row r="201" spans="10:10" ht="15.75" customHeight="1">
      <c r="J201" s="19"/>
    </row>
    <row r="202" spans="10:10" ht="15.75" customHeight="1">
      <c r="J202" s="19"/>
    </row>
    <row r="203" spans="10:10" ht="15.75" customHeight="1">
      <c r="J203" s="19"/>
    </row>
    <row r="204" spans="10:10" ht="15.75" customHeight="1">
      <c r="J204" s="19"/>
    </row>
    <row r="205" spans="10:10" ht="15.75" customHeight="1">
      <c r="J205" s="19"/>
    </row>
    <row r="206" spans="10:10" ht="15.75" customHeight="1">
      <c r="J206" s="19"/>
    </row>
    <row r="207" spans="10:10" ht="15.75" customHeight="1">
      <c r="J207" s="19"/>
    </row>
    <row r="208" spans="10:10" ht="15.75" customHeight="1">
      <c r="J208" s="19"/>
    </row>
    <row r="209" spans="10:10" ht="15.75" customHeight="1">
      <c r="J209" s="19"/>
    </row>
    <row r="210" spans="10:10" ht="15.75" customHeight="1">
      <c r="J210" s="19"/>
    </row>
    <row r="211" spans="10:10" ht="15.75" customHeight="1"/>
    <row r="212" spans="10:10" ht="15.75" customHeight="1"/>
    <row r="213" spans="10:10" ht="15.75" customHeight="1"/>
    <row r="214" spans="10:10" ht="15.75" customHeight="1"/>
    <row r="215" spans="10:10" ht="15.75" customHeight="1"/>
    <row r="216" spans="10:10" ht="15.75" customHeight="1"/>
    <row r="217" spans="10:10" ht="15.75" customHeight="1"/>
    <row r="218" spans="10:10" ht="15.75" customHeight="1"/>
    <row r="219" spans="10:10" ht="15.75" customHeight="1"/>
    <row r="220" spans="10:10" ht="15.75" customHeight="1"/>
    <row r="221" spans="10:10" ht="15.75" customHeight="1"/>
    <row r="222" spans="10:10" ht="15.75" customHeight="1"/>
    <row r="223" spans="10:10" ht="15.75" customHeight="1"/>
    <row r="224" spans="10:1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2">
    <mergeCell ref="B2:J2"/>
    <mergeCell ref="B4:G4"/>
  </mergeCells>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A60B-F18F-7242-8CB1-A219D564EBEE}">
  <sheetPr>
    <tabColor rgb="FFD6D6D6"/>
  </sheetPr>
  <dimension ref="A1:R41"/>
  <sheetViews>
    <sheetView showGridLines="0" workbookViewId="0">
      <selection activeCell="B2" sqref="B2:M3"/>
    </sheetView>
  </sheetViews>
  <sheetFormatPr defaultColWidth="8.7109375" defaultRowHeight="15"/>
  <cols>
    <col min="1" max="1" width="4.85546875" customWidth="1"/>
    <col min="2" max="2" width="6" customWidth="1"/>
    <col min="3" max="3" width="5.42578125" customWidth="1"/>
    <col min="4" max="4" width="15.7109375" customWidth="1"/>
    <col min="8" max="8" width="16.28515625" customWidth="1"/>
  </cols>
  <sheetData>
    <row r="1" spans="1:18" ht="15.75" thickBot="1">
      <c r="A1" s="13"/>
    </row>
    <row r="2" spans="1:18" ht="21" customHeight="1">
      <c r="A2" s="13"/>
      <c r="B2" s="161" t="s">
        <v>262</v>
      </c>
      <c r="C2" s="162"/>
      <c r="D2" s="162"/>
      <c r="E2" s="162"/>
      <c r="F2" s="162"/>
      <c r="G2" s="162"/>
      <c r="H2" s="162"/>
      <c r="I2" s="162"/>
      <c r="J2" s="162"/>
      <c r="K2" s="162"/>
      <c r="L2" s="162"/>
      <c r="M2" s="163"/>
    </row>
    <row r="3" spans="1:18" ht="21" customHeight="1" thickBot="1">
      <c r="B3" s="164"/>
      <c r="C3" s="165"/>
      <c r="D3" s="165"/>
      <c r="E3" s="165"/>
      <c r="F3" s="165"/>
      <c r="G3" s="165"/>
      <c r="H3" s="165"/>
      <c r="I3" s="165"/>
      <c r="J3" s="165"/>
      <c r="K3" s="165"/>
      <c r="L3" s="165"/>
      <c r="M3" s="166"/>
    </row>
    <row r="5" spans="1:18" ht="18.75">
      <c r="B5" s="33" t="s">
        <v>263</v>
      </c>
      <c r="C5" s="33"/>
    </row>
    <row r="6" spans="1:18" ht="34.15" customHeight="1">
      <c r="B6" s="107"/>
      <c r="C6" s="107"/>
      <c r="D6" s="107"/>
      <c r="E6" s="107"/>
      <c r="F6" s="107"/>
      <c r="G6" s="107"/>
      <c r="H6" s="107"/>
      <c r="I6" s="107"/>
      <c r="J6" s="107"/>
      <c r="K6" s="107"/>
      <c r="P6" s="134" t="s">
        <v>145</v>
      </c>
      <c r="Q6" s="134"/>
      <c r="R6" s="134"/>
    </row>
    <row r="7" spans="1:18" ht="36" customHeight="1">
      <c r="B7" s="107"/>
      <c r="C7" s="107"/>
      <c r="D7" s="107"/>
      <c r="E7" s="107"/>
      <c r="F7" s="107"/>
      <c r="G7" s="107"/>
      <c r="H7" s="107"/>
      <c r="I7" s="107"/>
      <c r="J7" s="107"/>
      <c r="K7" s="107"/>
      <c r="P7" s="133"/>
      <c r="Q7" s="133"/>
      <c r="R7" s="133"/>
    </row>
    <row r="8" spans="1:18">
      <c r="B8" s="36"/>
      <c r="C8" s="36"/>
      <c r="D8" s="36"/>
      <c r="E8" s="36"/>
      <c r="F8" s="36"/>
      <c r="G8" s="36"/>
      <c r="H8" s="36"/>
      <c r="I8" s="36"/>
      <c r="J8" s="36"/>
      <c r="K8" s="36"/>
      <c r="P8" s="133"/>
      <c r="Q8" s="133"/>
      <c r="R8" s="133"/>
    </row>
    <row r="9" spans="1:18" ht="18.75">
      <c r="B9" s="33" t="s">
        <v>264</v>
      </c>
      <c r="C9" s="33"/>
      <c r="P9" s="133"/>
      <c r="Q9" s="133"/>
      <c r="R9" s="133"/>
    </row>
    <row r="10" spans="1:18" ht="31.15" customHeight="1">
      <c r="B10" s="107"/>
      <c r="C10" s="107"/>
      <c r="D10" s="107"/>
      <c r="E10" s="107"/>
      <c r="F10" s="107"/>
      <c r="G10" s="107"/>
      <c r="H10" s="107"/>
      <c r="I10" s="107"/>
      <c r="J10" s="107"/>
      <c r="K10" s="107"/>
      <c r="P10" s="133"/>
      <c r="Q10" s="133"/>
      <c r="R10" s="133"/>
    </row>
    <row r="11" spans="1:18" ht="33" customHeight="1">
      <c r="B11" s="107"/>
      <c r="C11" s="107"/>
      <c r="D11" s="107"/>
      <c r="E11" s="107"/>
      <c r="F11" s="107"/>
      <c r="G11" s="107"/>
      <c r="H11" s="107"/>
      <c r="I11" s="107"/>
      <c r="J11" s="107"/>
      <c r="K11" s="107"/>
      <c r="P11" s="133"/>
      <c r="Q11" s="133"/>
      <c r="R11" s="133"/>
    </row>
    <row r="12" spans="1:18">
      <c r="P12" s="133"/>
      <c r="Q12" s="133"/>
      <c r="R12" s="133"/>
    </row>
    <row r="13" spans="1:18" ht="18.75">
      <c r="B13" s="33" t="s">
        <v>265</v>
      </c>
      <c r="C13" s="33"/>
      <c r="P13" s="133"/>
      <c r="Q13" s="133"/>
      <c r="R13" s="133"/>
    </row>
    <row r="14" spans="1:18">
      <c r="B14" s="167" t="s">
        <v>266</v>
      </c>
      <c r="C14" s="168" t="s">
        <v>267</v>
      </c>
      <c r="D14" s="107"/>
      <c r="E14" s="107"/>
      <c r="F14" s="107"/>
      <c r="G14" s="107"/>
      <c r="H14" s="107"/>
      <c r="I14" s="107"/>
      <c r="J14" s="107"/>
      <c r="K14" s="107"/>
      <c r="P14" s="133"/>
      <c r="Q14" s="133"/>
      <c r="R14" s="133"/>
    </row>
    <row r="15" spans="1:18" ht="22.9" customHeight="1">
      <c r="B15" s="167"/>
      <c r="C15" s="169"/>
      <c r="D15" s="107"/>
      <c r="E15" s="107"/>
      <c r="F15" s="107"/>
      <c r="G15" s="107"/>
      <c r="H15" s="107"/>
      <c r="I15" s="107"/>
      <c r="J15" s="107"/>
      <c r="K15" s="107"/>
    </row>
    <row r="16" spans="1:18" ht="22.9" customHeight="1">
      <c r="B16" s="167"/>
      <c r="C16" s="169"/>
      <c r="D16" s="107"/>
      <c r="E16" s="107"/>
      <c r="F16" s="107"/>
      <c r="G16" s="107"/>
      <c r="H16" s="107"/>
      <c r="I16" s="107"/>
      <c r="J16" s="107"/>
      <c r="K16" s="107"/>
    </row>
    <row r="17" spans="2:11" ht="22.9" customHeight="1">
      <c r="B17" s="167"/>
      <c r="C17" s="169"/>
      <c r="D17" s="107"/>
      <c r="E17" s="107"/>
      <c r="F17" s="107"/>
      <c r="G17" s="107"/>
      <c r="H17" s="107"/>
      <c r="I17" s="107"/>
      <c r="J17" s="107"/>
      <c r="K17" s="107"/>
    </row>
    <row r="18" spans="2:11" ht="22.9" customHeight="1">
      <c r="B18" s="167"/>
      <c r="C18" s="170"/>
      <c r="D18" s="107"/>
      <c r="E18" s="107"/>
      <c r="F18" s="107"/>
      <c r="G18" s="107"/>
      <c r="H18" s="107"/>
      <c r="I18" s="107"/>
      <c r="J18" s="107"/>
      <c r="K18" s="107"/>
    </row>
    <row r="19" spans="2:11" ht="22.9" customHeight="1">
      <c r="B19" s="167"/>
      <c r="C19" s="171" t="s">
        <v>268</v>
      </c>
      <c r="D19" s="107"/>
      <c r="E19" s="107"/>
      <c r="F19" s="107"/>
      <c r="G19" s="107"/>
      <c r="H19" s="107"/>
      <c r="I19" s="107"/>
      <c r="J19" s="107"/>
      <c r="K19" s="107"/>
    </row>
    <row r="20" spans="2:11" ht="22.9" customHeight="1">
      <c r="B20" s="167"/>
      <c r="C20" s="172"/>
      <c r="D20" s="107"/>
      <c r="E20" s="107"/>
      <c r="F20" s="107"/>
      <c r="G20" s="107"/>
      <c r="H20" s="107"/>
      <c r="I20" s="107"/>
      <c r="J20" s="107"/>
      <c r="K20" s="107"/>
    </row>
    <row r="21" spans="2:11" ht="22.9" customHeight="1">
      <c r="B21" s="167"/>
      <c r="C21" s="172"/>
      <c r="D21" s="107"/>
      <c r="E21" s="107"/>
      <c r="F21" s="107"/>
      <c r="G21" s="107"/>
      <c r="H21" s="107"/>
      <c r="I21" s="107"/>
      <c r="J21" s="107"/>
      <c r="K21" s="107"/>
    </row>
    <row r="22" spans="2:11" ht="22.9" customHeight="1">
      <c r="B22" s="167"/>
      <c r="C22" s="172"/>
      <c r="D22" s="107"/>
      <c r="E22" s="107"/>
      <c r="F22" s="107"/>
      <c r="G22" s="107"/>
      <c r="H22" s="107"/>
      <c r="I22" s="107"/>
      <c r="J22" s="107"/>
      <c r="K22" s="107"/>
    </row>
    <row r="23" spans="2:11" ht="22.9" customHeight="1">
      <c r="B23" s="167"/>
      <c r="C23" s="173"/>
      <c r="D23" s="107"/>
      <c r="E23" s="107"/>
      <c r="F23" s="107"/>
      <c r="G23" s="107"/>
      <c r="H23" s="107"/>
      <c r="I23" s="107"/>
      <c r="J23" s="107"/>
      <c r="K23" s="107"/>
    </row>
    <row r="24" spans="2:11" ht="22.9" customHeight="1">
      <c r="B24" s="190"/>
      <c r="C24" s="191"/>
      <c r="D24" s="194" t="s">
        <v>268</v>
      </c>
      <c r="E24" s="194"/>
      <c r="F24" s="194"/>
      <c r="G24" s="194"/>
      <c r="H24" s="195" t="s">
        <v>267</v>
      </c>
      <c r="I24" s="195"/>
      <c r="J24" s="195"/>
      <c r="K24" s="195"/>
    </row>
    <row r="25" spans="2:11" ht="28.15" customHeight="1">
      <c r="B25" s="192"/>
      <c r="C25" s="193"/>
      <c r="D25" s="187" t="s">
        <v>269</v>
      </c>
      <c r="E25" s="188"/>
      <c r="F25" s="188"/>
      <c r="G25" s="188"/>
      <c r="H25" s="188"/>
      <c r="I25" s="188"/>
      <c r="J25" s="188"/>
      <c r="K25" s="189"/>
    </row>
    <row r="26" spans="2:11" ht="25.15" customHeight="1"/>
    <row r="27" spans="2:11" ht="15.75">
      <c r="B27" s="34" t="s">
        <v>270</v>
      </c>
      <c r="C27" s="34"/>
    </row>
    <row r="28" spans="2:11" ht="16.149999999999999" customHeight="1">
      <c r="B28" s="181"/>
      <c r="C28" s="182"/>
      <c r="D28" s="182"/>
      <c r="E28" s="182"/>
      <c r="F28" s="182"/>
      <c r="G28" s="182"/>
      <c r="H28" s="182"/>
      <c r="I28" s="182"/>
      <c r="J28" s="182"/>
      <c r="K28" s="183"/>
    </row>
    <row r="29" spans="2:11" ht="16.149999999999999" customHeight="1">
      <c r="B29" s="184"/>
      <c r="C29" s="185"/>
      <c r="D29" s="185"/>
      <c r="E29" s="185"/>
      <c r="F29" s="185"/>
      <c r="G29" s="185"/>
      <c r="H29" s="185"/>
      <c r="I29" s="185"/>
      <c r="J29" s="185"/>
      <c r="K29" s="186"/>
    </row>
    <row r="30" spans="2:11" ht="16.149999999999999" customHeight="1">
      <c r="B30" s="37"/>
      <c r="C30" s="37"/>
      <c r="D30" s="37"/>
      <c r="E30" s="37"/>
      <c r="F30" s="37"/>
      <c r="G30" s="37"/>
      <c r="H30" s="37"/>
      <c r="I30" s="37"/>
      <c r="J30" s="37"/>
      <c r="K30" s="37"/>
    </row>
    <row r="32" spans="2:11" ht="15.75">
      <c r="B32" s="34" t="s">
        <v>271</v>
      </c>
      <c r="C32" s="34"/>
    </row>
    <row r="33" spans="2:11" ht="7.9" customHeight="1">
      <c r="B33" s="174" t="s">
        <v>272</v>
      </c>
      <c r="C33" s="174"/>
      <c r="D33" s="174"/>
      <c r="E33" s="175"/>
      <c r="F33" s="176"/>
      <c r="G33" s="176"/>
      <c r="H33" s="176"/>
      <c r="I33" s="176"/>
      <c r="J33" s="176"/>
      <c r="K33" s="177"/>
    </row>
    <row r="34" spans="2:11" ht="21" customHeight="1">
      <c r="B34" s="174"/>
      <c r="C34" s="174"/>
      <c r="D34" s="174"/>
      <c r="E34" s="178"/>
      <c r="F34" s="179"/>
      <c r="G34" s="179"/>
      <c r="H34" s="179"/>
      <c r="I34" s="179"/>
      <c r="J34" s="179"/>
      <c r="K34" s="180"/>
    </row>
    <row r="35" spans="2:11" ht="15" customHeight="1">
      <c r="B35" s="174" t="s">
        <v>273</v>
      </c>
      <c r="C35" s="174"/>
      <c r="D35" s="174"/>
      <c r="E35" s="175"/>
      <c r="F35" s="176"/>
      <c r="G35" s="176"/>
      <c r="H35" s="176"/>
      <c r="I35" s="176"/>
      <c r="J35" s="176"/>
      <c r="K35" s="177"/>
    </row>
    <row r="36" spans="2:11" ht="15" customHeight="1">
      <c r="B36" s="174"/>
      <c r="C36" s="174"/>
      <c r="D36" s="174"/>
      <c r="E36" s="178"/>
      <c r="F36" s="179"/>
      <c r="G36" s="179"/>
      <c r="H36" s="179"/>
      <c r="I36" s="179"/>
      <c r="J36" s="179"/>
      <c r="K36" s="180"/>
    </row>
    <row r="37" spans="2:11" ht="15" customHeight="1">
      <c r="B37" s="174" t="s">
        <v>274</v>
      </c>
      <c r="C37" s="174"/>
      <c r="D37" s="174"/>
      <c r="E37" s="175"/>
      <c r="F37" s="176"/>
      <c r="G37" s="176"/>
      <c r="H37" s="176"/>
      <c r="I37" s="176"/>
      <c r="J37" s="176"/>
      <c r="K37" s="177"/>
    </row>
    <row r="38" spans="2:11" ht="16.899999999999999" customHeight="1">
      <c r="B38" s="174"/>
      <c r="C38" s="174"/>
      <c r="D38" s="174"/>
      <c r="E38" s="178"/>
      <c r="F38" s="179"/>
      <c r="G38" s="179"/>
      <c r="H38" s="179"/>
      <c r="I38" s="179"/>
      <c r="J38" s="179"/>
      <c r="K38" s="180"/>
    </row>
    <row r="39" spans="2:11" ht="15" customHeight="1">
      <c r="B39" s="174" t="s">
        <v>275</v>
      </c>
      <c r="C39" s="174"/>
      <c r="D39" s="174"/>
      <c r="E39" s="175"/>
      <c r="F39" s="176"/>
      <c r="G39" s="176"/>
      <c r="H39" s="176"/>
      <c r="I39" s="176"/>
      <c r="J39" s="176"/>
      <c r="K39" s="177"/>
    </row>
    <row r="40" spans="2:11" ht="15" customHeight="1">
      <c r="B40" s="174"/>
      <c r="C40" s="174"/>
      <c r="D40" s="174"/>
      <c r="E40" s="178"/>
      <c r="F40" s="179"/>
      <c r="G40" s="179"/>
      <c r="H40" s="179"/>
      <c r="I40" s="179"/>
      <c r="J40" s="179"/>
      <c r="K40" s="180"/>
    </row>
    <row r="41" spans="2:11" ht="15" customHeight="1"/>
  </sheetData>
  <mergeCells count="25">
    <mergeCell ref="P6:R6"/>
    <mergeCell ref="P7:R14"/>
    <mergeCell ref="B28:K29"/>
    <mergeCell ref="B33:D34"/>
    <mergeCell ref="B35:D36"/>
    <mergeCell ref="D25:K25"/>
    <mergeCell ref="B10:K11"/>
    <mergeCell ref="B24:C25"/>
    <mergeCell ref="D24:G24"/>
    <mergeCell ref="H24:K24"/>
    <mergeCell ref="B37:D38"/>
    <mergeCell ref="B39:D40"/>
    <mergeCell ref="E33:K34"/>
    <mergeCell ref="E35:K36"/>
    <mergeCell ref="E37:K38"/>
    <mergeCell ref="E39:K40"/>
    <mergeCell ref="B2:M3"/>
    <mergeCell ref="B14:B23"/>
    <mergeCell ref="D14:G18"/>
    <mergeCell ref="D19:G23"/>
    <mergeCell ref="H14:K18"/>
    <mergeCell ref="H19:K23"/>
    <mergeCell ref="B6:K7"/>
    <mergeCell ref="C14:C18"/>
    <mergeCell ref="C19:C23"/>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638A-9FD1-45AA-B543-B4B3511BC1B6}">
  <sheetPr>
    <tabColor rgb="FF9CCFF5"/>
  </sheetPr>
  <dimension ref="B2:O26"/>
  <sheetViews>
    <sheetView showGridLines="0" workbookViewId="0">
      <selection activeCell="B5" sqref="B5:C26"/>
    </sheetView>
  </sheetViews>
  <sheetFormatPr defaultRowHeight="15"/>
  <cols>
    <col min="1" max="1" width="4.85546875" customWidth="1"/>
    <col min="2" max="4" width="26.7109375" customWidth="1"/>
    <col min="5" max="9" width="19.7109375" customWidth="1"/>
  </cols>
  <sheetData>
    <row r="2" spans="2:15" ht="42" customHeight="1">
      <c r="B2" s="196" t="s">
        <v>276</v>
      </c>
      <c r="C2" s="197"/>
      <c r="D2" s="197"/>
      <c r="E2" s="197"/>
      <c r="F2" s="197"/>
      <c r="G2" s="197"/>
      <c r="H2" s="197"/>
      <c r="I2" s="197"/>
    </row>
    <row r="4" spans="2:15">
      <c r="B4" s="73" t="s">
        <v>277</v>
      </c>
      <c r="C4" s="73" t="s">
        <v>278</v>
      </c>
      <c r="D4" s="72" t="s">
        <v>260</v>
      </c>
      <c r="E4" s="73" t="s">
        <v>279</v>
      </c>
      <c r="F4" s="73" t="s">
        <v>280</v>
      </c>
      <c r="G4" s="73" t="s">
        <v>281</v>
      </c>
      <c r="H4" s="73" t="s">
        <v>282</v>
      </c>
      <c r="I4" s="73" t="s">
        <v>283</v>
      </c>
      <c r="K4" s="198" t="s">
        <v>284</v>
      </c>
      <c r="L4" s="198"/>
      <c r="M4" s="198"/>
      <c r="N4" s="198"/>
      <c r="O4" s="198"/>
    </row>
    <row r="5" spans="2:15">
      <c r="B5" s="46" t="s">
        <v>234</v>
      </c>
      <c r="C5" s="46" t="s">
        <v>285</v>
      </c>
      <c r="D5" s="80"/>
      <c r="E5" s="80"/>
      <c r="F5" s="80"/>
      <c r="G5" s="80"/>
      <c r="H5" s="80"/>
      <c r="I5" s="80"/>
      <c r="K5" s="198"/>
      <c r="L5" s="198"/>
      <c r="M5" s="198"/>
      <c r="N5" s="198"/>
      <c r="O5" s="198"/>
    </row>
    <row r="6" spans="2:15">
      <c r="B6" s="46" t="s">
        <v>234</v>
      </c>
      <c r="C6" s="46" t="s">
        <v>286</v>
      </c>
      <c r="D6" s="80"/>
      <c r="E6" s="80"/>
      <c r="F6" s="80"/>
      <c r="G6" s="80"/>
      <c r="H6" s="80"/>
      <c r="I6" s="80"/>
      <c r="K6" s="198"/>
      <c r="L6" s="198"/>
      <c r="M6" s="198"/>
      <c r="N6" s="198"/>
      <c r="O6" s="198"/>
    </row>
    <row r="7" spans="2:15">
      <c r="B7" s="46" t="s">
        <v>234</v>
      </c>
      <c r="C7" s="46" t="s">
        <v>287</v>
      </c>
      <c r="D7" s="80"/>
      <c r="E7" s="80"/>
      <c r="F7" s="80"/>
      <c r="G7" s="80"/>
      <c r="H7" s="80"/>
      <c r="I7" s="80"/>
      <c r="K7" s="198"/>
      <c r="L7" s="198"/>
      <c r="M7" s="198"/>
      <c r="N7" s="198"/>
      <c r="O7" s="198"/>
    </row>
    <row r="8" spans="2:15">
      <c r="B8" s="46" t="s">
        <v>288</v>
      </c>
      <c r="C8" s="46"/>
      <c r="D8" s="80"/>
      <c r="E8" s="80"/>
      <c r="F8" s="80"/>
      <c r="G8" s="80"/>
      <c r="H8" s="80"/>
      <c r="I8" s="80"/>
      <c r="K8" s="198"/>
      <c r="L8" s="198"/>
      <c r="M8" s="198"/>
      <c r="N8" s="198"/>
      <c r="O8" s="198"/>
    </row>
    <row r="9" spans="2:15">
      <c r="B9" s="9" t="s">
        <v>235</v>
      </c>
      <c r="C9" s="9" t="s">
        <v>289</v>
      </c>
      <c r="D9" s="80"/>
      <c r="E9" s="80"/>
      <c r="F9" s="80"/>
      <c r="G9" s="80"/>
      <c r="H9" s="80"/>
      <c r="I9" s="80"/>
      <c r="K9" s="198"/>
      <c r="L9" s="198"/>
      <c r="M9" s="198"/>
      <c r="N9" s="198"/>
      <c r="O9" s="198"/>
    </row>
    <row r="10" spans="2:15">
      <c r="B10" s="9" t="s">
        <v>235</v>
      </c>
      <c r="C10" s="9" t="s">
        <v>290</v>
      </c>
      <c r="D10" s="80"/>
      <c r="E10" s="80"/>
      <c r="F10" s="80"/>
      <c r="G10" s="80"/>
      <c r="H10" s="80"/>
      <c r="I10" s="80"/>
      <c r="K10" s="198"/>
      <c r="L10" s="198"/>
      <c r="M10" s="198"/>
      <c r="N10" s="198"/>
      <c r="O10" s="198"/>
    </row>
    <row r="11" spans="2:15">
      <c r="B11" s="9" t="s">
        <v>235</v>
      </c>
      <c r="C11" s="9" t="s">
        <v>291</v>
      </c>
      <c r="D11" s="80"/>
      <c r="E11" s="80"/>
      <c r="F11" s="80"/>
      <c r="G11" s="80"/>
      <c r="H11" s="80"/>
      <c r="I11" s="80"/>
      <c r="K11" s="198"/>
      <c r="L11" s="198"/>
      <c r="M11" s="198"/>
      <c r="N11" s="198"/>
      <c r="O11" s="198"/>
    </row>
    <row r="12" spans="2:15">
      <c r="B12" s="9" t="s">
        <v>292</v>
      </c>
      <c r="C12" s="9"/>
      <c r="D12" s="80"/>
      <c r="E12" s="80"/>
      <c r="F12" s="80"/>
      <c r="G12" s="80"/>
      <c r="H12" s="80"/>
      <c r="I12" s="80"/>
      <c r="K12" s="198"/>
      <c r="L12" s="198"/>
      <c r="M12" s="198"/>
      <c r="N12" s="198"/>
      <c r="O12" s="198"/>
    </row>
    <row r="13" spans="2:15">
      <c r="B13" s="8" t="s">
        <v>236</v>
      </c>
      <c r="C13" s="8"/>
      <c r="D13" s="80"/>
      <c r="E13" s="80"/>
      <c r="F13" s="80"/>
      <c r="G13" s="80"/>
      <c r="H13" s="80"/>
      <c r="I13" s="80"/>
      <c r="K13" s="198"/>
      <c r="L13" s="198"/>
      <c r="M13" s="198"/>
      <c r="N13" s="198"/>
      <c r="O13" s="198"/>
    </row>
    <row r="14" spans="2:15">
      <c r="B14" s="9" t="s">
        <v>237</v>
      </c>
      <c r="C14" s="9"/>
      <c r="D14" s="80"/>
      <c r="E14" s="80"/>
      <c r="F14" s="80"/>
      <c r="G14" s="80"/>
      <c r="H14" s="80"/>
      <c r="I14" s="80"/>
      <c r="K14" s="198"/>
      <c r="L14" s="198"/>
      <c r="M14" s="198"/>
      <c r="N14" s="198"/>
      <c r="O14" s="198"/>
    </row>
    <row r="15" spans="2:15">
      <c r="B15" s="8" t="s">
        <v>238</v>
      </c>
      <c r="C15" s="8" t="s">
        <v>293</v>
      </c>
      <c r="D15" s="80"/>
      <c r="E15" s="80"/>
      <c r="F15" s="80"/>
      <c r="G15" s="80"/>
      <c r="H15" s="80"/>
      <c r="I15" s="80"/>
    </row>
    <row r="16" spans="2:15">
      <c r="B16" s="8" t="s">
        <v>238</v>
      </c>
      <c r="C16" s="8" t="s">
        <v>294</v>
      </c>
      <c r="D16" s="80"/>
      <c r="E16" s="80"/>
      <c r="F16" s="80"/>
      <c r="G16" s="80"/>
      <c r="H16" s="80"/>
      <c r="I16" s="80"/>
    </row>
    <row r="17" spans="2:9">
      <c r="B17" s="8" t="s">
        <v>238</v>
      </c>
      <c r="C17" s="8" t="s">
        <v>295</v>
      </c>
      <c r="D17" s="80"/>
      <c r="E17" s="80"/>
      <c r="F17" s="80"/>
      <c r="G17" s="80"/>
      <c r="H17" s="80"/>
      <c r="I17" s="80"/>
    </row>
    <row r="18" spans="2:9">
      <c r="B18" s="8" t="s">
        <v>296</v>
      </c>
      <c r="C18" s="8"/>
      <c r="D18" s="80"/>
      <c r="E18" s="80"/>
      <c r="F18" s="80"/>
      <c r="G18" s="80"/>
      <c r="H18" s="80"/>
      <c r="I18" s="80"/>
    </row>
    <row r="19" spans="2:9">
      <c r="B19" s="9" t="s">
        <v>121</v>
      </c>
      <c r="C19" s="9"/>
      <c r="D19" s="80"/>
      <c r="E19" s="80"/>
      <c r="F19" s="80"/>
      <c r="G19" s="80"/>
      <c r="H19" s="80"/>
      <c r="I19" s="80"/>
    </row>
    <row r="20" spans="2:9">
      <c r="B20" s="9" t="s">
        <v>297</v>
      </c>
      <c r="C20" s="9" t="s">
        <v>298</v>
      </c>
      <c r="D20" s="80"/>
      <c r="E20" s="80"/>
      <c r="F20" s="80"/>
      <c r="G20" s="80"/>
      <c r="H20" s="80"/>
      <c r="I20" s="80"/>
    </row>
    <row r="21" spans="2:9">
      <c r="B21" s="9" t="s">
        <v>297</v>
      </c>
      <c r="C21" s="9" t="s">
        <v>299</v>
      </c>
      <c r="D21" s="80"/>
      <c r="E21" s="80"/>
      <c r="F21" s="80"/>
      <c r="G21" s="80"/>
      <c r="H21" s="80"/>
      <c r="I21" s="80"/>
    </row>
    <row r="22" spans="2:9">
      <c r="B22" s="9" t="s">
        <v>300</v>
      </c>
      <c r="C22" s="9"/>
      <c r="D22" s="80"/>
      <c r="E22" s="80"/>
      <c r="F22" s="80"/>
      <c r="G22" s="80"/>
      <c r="H22" s="80"/>
      <c r="I22" s="80"/>
    </row>
    <row r="23" spans="2:9">
      <c r="B23" s="9" t="s">
        <v>240</v>
      </c>
      <c r="C23" s="9"/>
      <c r="D23" s="80"/>
      <c r="E23" s="80"/>
      <c r="F23" s="80"/>
      <c r="G23" s="80"/>
      <c r="H23" s="80"/>
      <c r="I23" s="80"/>
    </row>
    <row r="24" spans="2:9">
      <c r="B24" s="9" t="s">
        <v>301</v>
      </c>
      <c r="C24" s="9"/>
      <c r="D24" s="80"/>
      <c r="E24" s="80"/>
      <c r="F24" s="80"/>
      <c r="G24" s="80"/>
      <c r="H24" s="80"/>
      <c r="I24" s="80"/>
    </row>
    <row r="25" spans="2:9">
      <c r="B25" s="9" t="s">
        <v>122</v>
      </c>
      <c r="C25" s="9"/>
      <c r="D25" s="80"/>
      <c r="E25" s="80"/>
      <c r="F25" s="80"/>
      <c r="G25" s="80"/>
      <c r="H25" s="80"/>
      <c r="I25" s="80"/>
    </row>
    <row r="26" spans="2:9">
      <c r="B26" s="8" t="s">
        <v>241</v>
      </c>
      <c r="C26" s="8"/>
      <c r="D26" s="80"/>
      <c r="E26" s="80"/>
      <c r="F26" s="80"/>
      <c r="G26" s="80"/>
      <c r="H26" s="80"/>
      <c r="I26" s="80"/>
    </row>
  </sheetData>
  <mergeCells count="2">
    <mergeCell ref="B2:I2"/>
    <mergeCell ref="K4:O1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29897-B457-4DD5-AB31-26116B9182F1}">
  <sheetPr>
    <tabColor rgb="FF9CCFF5"/>
  </sheetPr>
  <dimension ref="B1:Q11"/>
  <sheetViews>
    <sheetView showGridLines="0" tabSelected="1" workbookViewId="0">
      <selection activeCell="D14" sqref="D14"/>
    </sheetView>
  </sheetViews>
  <sheetFormatPr defaultColWidth="8.85546875" defaultRowHeight="15"/>
  <cols>
    <col min="1" max="1" width="4.85546875" style="68" customWidth="1"/>
    <col min="2" max="2" width="36.5703125" style="68" bestFit="1" customWidth="1"/>
    <col min="3" max="5" width="36.5703125" style="68" customWidth="1"/>
    <col min="6" max="10" width="19.7109375" style="68" customWidth="1"/>
    <col min="11" max="11" width="8.85546875" style="68"/>
    <col min="12" max="12" width="34.28515625" style="68" customWidth="1"/>
    <col min="13" max="16384" width="8.85546875" style="68"/>
  </cols>
  <sheetData>
    <row r="1" spans="2:17" ht="15" customHeight="1"/>
    <row r="2" spans="2:17" ht="42" customHeight="1">
      <c r="B2" s="196" t="s">
        <v>302</v>
      </c>
      <c r="C2" s="197"/>
      <c r="D2" s="197"/>
      <c r="E2" s="197"/>
      <c r="F2" s="197"/>
      <c r="G2" s="197"/>
      <c r="H2" s="197"/>
      <c r="I2" s="197"/>
      <c r="J2" s="197"/>
    </row>
    <row r="4" spans="2:17">
      <c r="B4" s="73" t="s">
        <v>303</v>
      </c>
      <c r="C4" s="73" t="s">
        <v>304</v>
      </c>
      <c r="D4" s="73" t="s">
        <v>305</v>
      </c>
      <c r="E4" s="72" t="s">
        <v>260</v>
      </c>
      <c r="F4" s="72" t="s">
        <v>306</v>
      </c>
      <c r="G4" s="72" t="s">
        <v>280</v>
      </c>
      <c r="H4" s="72" t="s">
        <v>281</v>
      </c>
      <c r="I4" s="72" t="s">
        <v>282</v>
      </c>
      <c r="J4" s="72" t="s">
        <v>283</v>
      </c>
      <c r="L4" s="82" t="s">
        <v>307</v>
      </c>
      <c r="M4" s="83"/>
      <c r="N4" s="83"/>
      <c r="O4" s="83"/>
      <c r="P4" s="83"/>
      <c r="Q4" s="84"/>
    </row>
    <row r="5" spans="2:17">
      <c r="B5" s="79"/>
      <c r="C5" s="79"/>
      <c r="D5" s="79"/>
      <c r="E5" s="80"/>
      <c r="F5" s="80"/>
      <c r="G5" s="80"/>
      <c r="H5" s="80"/>
      <c r="I5" s="80"/>
      <c r="J5" s="80"/>
      <c r="L5" s="85" t="s">
        <v>308</v>
      </c>
      <c r="Q5" s="86"/>
    </row>
    <row r="6" spans="2:17">
      <c r="B6" s="81"/>
      <c r="C6" s="81"/>
      <c r="D6" s="81"/>
      <c r="E6" s="80"/>
      <c r="F6" s="80"/>
      <c r="G6" s="80"/>
      <c r="H6" s="80"/>
      <c r="I6" s="80"/>
      <c r="J6" s="80"/>
      <c r="L6" s="85" t="s">
        <v>309</v>
      </c>
      <c r="Q6" s="86"/>
    </row>
    <row r="7" spans="2:17">
      <c r="B7" s="81"/>
      <c r="C7" s="81"/>
      <c r="D7" s="81"/>
      <c r="E7" s="80"/>
      <c r="F7" s="80"/>
      <c r="G7" s="80"/>
      <c r="H7" s="80"/>
      <c r="I7" s="80"/>
      <c r="J7" s="80"/>
      <c r="L7" s="85" t="s">
        <v>310</v>
      </c>
      <c r="Q7" s="86"/>
    </row>
    <row r="8" spans="2:17">
      <c r="B8" s="81"/>
      <c r="C8" s="81"/>
      <c r="D8" s="81"/>
      <c r="E8" s="80"/>
      <c r="F8" s="80"/>
      <c r="G8" s="80"/>
      <c r="H8" s="80"/>
      <c r="I8" s="80"/>
      <c r="J8" s="80"/>
      <c r="L8" s="85" t="s">
        <v>214</v>
      </c>
      <c r="Q8" s="86"/>
    </row>
    <row r="9" spans="2:17">
      <c r="B9" s="81"/>
      <c r="C9" s="81"/>
      <c r="D9" s="81"/>
      <c r="E9" s="80"/>
      <c r="F9" s="80"/>
      <c r="G9" s="80"/>
      <c r="H9" s="80"/>
      <c r="I9" s="80"/>
      <c r="J9" s="80"/>
      <c r="L9" s="85" t="s">
        <v>311</v>
      </c>
      <c r="Q9" s="86"/>
    </row>
    <row r="10" spans="2:17">
      <c r="B10" s="81"/>
      <c r="C10" s="81"/>
      <c r="D10" s="81"/>
      <c r="E10" s="80"/>
      <c r="F10" s="80"/>
      <c r="G10" s="80"/>
      <c r="H10" s="80"/>
      <c r="I10" s="80"/>
      <c r="J10" s="80"/>
      <c r="L10" s="85" t="s">
        <v>312</v>
      </c>
      <c r="Q10" s="86"/>
    </row>
    <row r="11" spans="2:17">
      <c r="B11" s="81"/>
      <c r="C11" s="81"/>
      <c r="D11" s="81"/>
      <c r="E11" s="80"/>
      <c r="F11" s="80"/>
      <c r="G11" s="80"/>
      <c r="H11" s="80"/>
      <c r="I11" s="80"/>
      <c r="J11" s="80"/>
      <c r="L11" s="87" t="s">
        <v>313</v>
      </c>
      <c r="M11" s="88"/>
      <c r="N11" s="88"/>
      <c r="O11" s="88"/>
      <c r="P11" s="88"/>
      <c r="Q11" s="89"/>
    </row>
  </sheetData>
  <mergeCells count="1">
    <mergeCell ref="B2:J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8C28-A93B-4CA5-8BD6-4D52ADCA4F82}">
  <sheetPr>
    <tabColor rgb="FF9CCFF5"/>
  </sheetPr>
  <dimension ref="B2:O11"/>
  <sheetViews>
    <sheetView showGridLines="0" workbookViewId="0">
      <selection activeCell="I1" sqref="I1:I1048576"/>
    </sheetView>
  </sheetViews>
  <sheetFormatPr defaultRowHeight="15"/>
  <cols>
    <col min="1" max="1" width="4.85546875" customWidth="1"/>
    <col min="2" max="2" width="34.28515625" bestFit="1" customWidth="1"/>
    <col min="3" max="3" width="34.28515625" customWidth="1"/>
    <col min="4" max="8" width="19.7109375" customWidth="1"/>
    <col min="10" max="10" width="34.28515625" customWidth="1"/>
  </cols>
  <sheetData>
    <row r="2" spans="2:15" ht="42" customHeight="1">
      <c r="B2" s="196" t="s">
        <v>314</v>
      </c>
      <c r="C2" s="197"/>
      <c r="D2" s="197"/>
      <c r="E2" s="197"/>
      <c r="F2" s="197"/>
      <c r="G2" s="197"/>
      <c r="H2" s="197"/>
    </row>
    <row r="4" spans="2:15">
      <c r="B4" s="73" t="s">
        <v>315</v>
      </c>
      <c r="C4" s="72" t="s">
        <v>260</v>
      </c>
      <c r="D4" s="73" t="s">
        <v>306</v>
      </c>
      <c r="E4" s="73" t="s">
        <v>280</v>
      </c>
      <c r="F4" s="73" t="s">
        <v>281</v>
      </c>
      <c r="G4" s="73" t="s">
        <v>282</v>
      </c>
      <c r="H4" s="73" t="s">
        <v>283</v>
      </c>
      <c r="J4" s="82" t="s">
        <v>316</v>
      </c>
      <c r="K4" s="83"/>
      <c r="L4" s="83"/>
      <c r="M4" s="90"/>
      <c r="N4" s="90"/>
      <c r="O4" s="91"/>
    </row>
    <row r="5" spans="2:15">
      <c r="B5" s="80"/>
      <c r="C5" s="80"/>
      <c r="D5" s="80"/>
      <c r="E5" s="80"/>
      <c r="F5" s="80"/>
      <c r="G5" s="80"/>
      <c r="H5" s="80"/>
      <c r="J5" s="85" t="s">
        <v>308</v>
      </c>
      <c r="K5" s="68"/>
      <c r="L5" s="68"/>
      <c r="O5" s="92"/>
    </row>
    <row r="6" spans="2:15">
      <c r="B6" s="80"/>
      <c r="C6" s="80"/>
      <c r="D6" s="80"/>
      <c r="E6" s="80"/>
      <c r="F6" s="80"/>
      <c r="G6" s="80"/>
      <c r="H6" s="80"/>
      <c r="J6" s="85" t="s">
        <v>309</v>
      </c>
      <c r="K6" s="68"/>
      <c r="L6" s="68"/>
      <c r="O6" s="92"/>
    </row>
    <row r="7" spans="2:15">
      <c r="B7" s="80"/>
      <c r="C7" s="80"/>
      <c r="D7" s="80"/>
      <c r="E7" s="80"/>
      <c r="F7" s="80"/>
      <c r="G7" s="80"/>
      <c r="H7" s="80"/>
      <c r="J7" s="85" t="s">
        <v>310</v>
      </c>
      <c r="K7" s="68"/>
      <c r="L7" s="68"/>
      <c r="O7" s="92"/>
    </row>
    <row r="8" spans="2:15">
      <c r="B8" s="80"/>
      <c r="C8" s="80"/>
      <c r="D8" s="80"/>
      <c r="E8" s="80"/>
      <c r="F8" s="80"/>
      <c r="G8" s="80"/>
      <c r="H8" s="80"/>
      <c r="J8" s="85" t="s">
        <v>214</v>
      </c>
      <c r="K8" s="68"/>
      <c r="L8" s="68"/>
      <c r="O8" s="92"/>
    </row>
    <row r="9" spans="2:15">
      <c r="B9" s="80"/>
      <c r="C9" s="80"/>
      <c r="D9" s="80"/>
      <c r="E9" s="80"/>
      <c r="F9" s="80"/>
      <c r="G9" s="80"/>
      <c r="H9" s="80"/>
      <c r="J9" s="85" t="s">
        <v>311</v>
      </c>
      <c r="K9" s="68"/>
      <c r="L9" s="68"/>
      <c r="O9" s="92"/>
    </row>
    <row r="10" spans="2:15">
      <c r="B10" s="80"/>
      <c r="C10" s="80"/>
      <c r="D10" s="80"/>
      <c r="E10" s="80"/>
      <c r="F10" s="80"/>
      <c r="G10" s="80"/>
      <c r="H10" s="80"/>
      <c r="J10" s="85" t="s">
        <v>312</v>
      </c>
      <c r="K10" s="68"/>
      <c r="L10" s="68"/>
      <c r="O10" s="92"/>
    </row>
    <row r="11" spans="2:15">
      <c r="B11" s="80"/>
      <c r="C11" s="80"/>
      <c r="D11" s="80"/>
      <c r="E11" s="80"/>
      <c r="F11" s="80"/>
      <c r="G11" s="80"/>
      <c r="H11" s="80"/>
      <c r="J11" s="87" t="s">
        <v>313</v>
      </c>
      <c r="K11" s="88"/>
      <c r="L11" s="88"/>
      <c r="M11" s="93"/>
      <c r="N11" s="93"/>
      <c r="O11" s="94"/>
    </row>
  </sheetData>
  <mergeCells count="1">
    <mergeCell ref="B2:H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0C2A-4FC9-9946-A5E3-50F05CF20616}">
  <sheetPr>
    <tabColor rgb="FFFFFF99"/>
  </sheetPr>
  <dimension ref="B1:J20"/>
  <sheetViews>
    <sheetView showGridLines="0" zoomScaleNormal="100" workbookViewId="0">
      <selection activeCell="C20" sqref="C20"/>
    </sheetView>
  </sheetViews>
  <sheetFormatPr defaultColWidth="8.7109375" defaultRowHeight="15"/>
  <cols>
    <col min="1" max="1" width="4.85546875" customWidth="1"/>
    <col min="2" max="2" width="17.5703125" bestFit="1" customWidth="1"/>
    <col min="3" max="3" width="35.7109375" customWidth="1"/>
    <col min="4" max="4" width="23.7109375" customWidth="1"/>
    <col min="5" max="5" width="27" bestFit="1" customWidth="1"/>
    <col min="6" max="6" width="14.5703125" customWidth="1"/>
    <col min="7" max="7" width="36.140625" customWidth="1"/>
    <col min="8" max="8" width="34.28515625" customWidth="1"/>
  </cols>
  <sheetData>
    <row r="1" spans="2:10" ht="18" customHeight="1"/>
    <row r="2" spans="2:10" ht="42" customHeight="1">
      <c r="B2" s="103" t="s">
        <v>317</v>
      </c>
      <c r="C2" s="104"/>
      <c r="D2" s="104"/>
      <c r="E2" s="104"/>
      <c r="F2" s="96"/>
    </row>
    <row r="3" spans="2:10" ht="10.15" customHeight="1"/>
    <row r="4" spans="2:10">
      <c r="B4" s="71" t="s">
        <v>318</v>
      </c>
      <c r="C4" s="71" t="s">
        <v>319</v>
      </c>
      <c r="D4" s="71" t="s">
        <v>320</v>
      </c>
      <c r="E4" s="71" t="s">
        <v>321</v>
      </c>
      <c r="G4" s="204" t="s">
        <v>322</v>
      </c>
      <c r="H4" s="205"/>
      <c r="I4" s="205"/>
      <c r="J4" s="206"/>
    </row>
    <row r="5" spans="2:10">
      <c r="B5" s="78" t="s">
        <v>323</v>
      </c>
      <c r="C5" s="69"/>
      <c r="D5" s="69"/>
      <c r="E5" s="69"/>
      <c r="G5" s="199" t="s">
        <v>324</v>
      </c>
      <c r="H5" s="112"/>
      <c r="I5" s="112"/>
      <c r="J5" s="200"/>
    </row>
    <row r="6" spans="2:10">
      <c r="B6" s="78" t="s">
        <v>325</v>
      </c>
      <c r="C6" s="69"/>
      <c r="D6" s="69"/>
      <c r="E6" s="69"/>
      <c r="G6" s="199" t="s">
        <v>326</v>
      </c>
      <c r="H6" s="112"/>
      <c r="I6" s="112"/>
      <c r="J6" s="200"/>
    </row>
    <row r="7" spans="2:10">
      <c r="B7" s="78" t="s">
        <v>327</v>
      </c>
      <c r="C7" s="69"/>
      <c r="D7" s="69"/>
      <c r="E7" s="69"/>
      <c r="G7" s="199" t="s">
        <v>328</v>
      </c>
      <c r="H7" s="112"/>
      <c r="I7" s="112"/>
      <c r="J7" s="200"/>
    </row>
    <row r="8" spans="2:10">
      <c r="B8" s="78" t="s">
        <v>329</v>
      </c>
      <c r="C8" s="69"/>
      <c r="D8" s="69"/>
      <c r="E8" s="69"/>
      <c r="G8" s="199" t="s">
        <v>330</v>
      </c>
      <c r="H8" s="112"/>
      <c r="I8" s="112"/>
      <c r="J8" s="200"/>
    </row>
    <row r="9" spans="2:10">
      <c r="B9" s="78" t="s">
        <v>331</v>
      </c>
      <c r="C9" s="69"/>
      <c r="D9" s="69"/>
      <c r="E9" s="69"/>
      <c r="G9" s="199" t="s">
        <v>332</v>
      </c>
      <c r="H9" s="112"/>
      <c r="I9" s="112"/>
      <c r="J9" s="200"/>
    </row>
    <row r="10" spans="2:10">
      <c r="B10" s="78" t="s">
        <v>333</v>
      </c>
      <c r="C10" s="69"/>
      <c r="D10" s="69"/>
      <c r="E10" s="69"/>
      <c r="G10" s="199" t="s">
        <v>334</v>
      </c>
      <c r="H10" s="112"/>
      <c r="I10" s="112"/>
      <c r="J10" s="200"/>
    </row>
    <row r="11" spans="2:10">
      <c r="B11" s="78" t="s">
        <v>335</v>
      </c>
      <c r="C11" s="69"/>
      <c r="D11" s="69"/>
      <c r="E11" s="69"/>
      <c r="G11" s="201" t="s">
        <v>336</v>
      </c>
      <c r="H11" s="202"/>
      <c r="I11" s="202"/>
      <c r="J11" s="203"/>
    </row>
    <row r="12" spans="2:10">
      <c r="B12" s="1"/>
    </row>
    <row r="13" spans="2:10" ht="15" customHeight="1"/>
    <row r="14" spans="2:10" ht="15" customHeight="1"/>
    <row r="15" spans="2:10" ht="15" customHeight="1"/>
    <row r="16" spans="2:10" ht="15" customHeight="1"/>
    <row r="17" ht="15" customHeight="1"/>
    <row r="18" ht="15" customHeight="1"/>
    <row r="19" ht="15" customHeight="1"/>
    <row r="20" ht="15" customHeight="1"/>
  </sheetData>
  <dataConsolidate/>
  <mergeCells count="9">
    <mergeCell ref="B2:E2"/>
    <mergeCell ref="G8:J8"/>
    <mergeCell ref="G9:J9"/>
    <mergeCell ref="G10:J10"/>
    <mergeCell ref="G11:J11"/>
    <mergeCell ref="G4:J4"/>
    <mergeCell ref="G5:J5"/>
    <mergeCell ref="G6:J6"/>
    <mergeCell ref="G7:J7"/>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E770-AA4A-8A4B-BACA-F9D7450E0805}">
  <sheetPr>
    <tabColor rgb="FFFFFF99"/>
    <outlinePr summaryBelow="0" summaryRight="0"/>
  </sheetPr>
  <dimension ref="B1:G960"/>
  <sheetViews>
    <sheetView showGridLines="0" workbookViewId="0">
      <selection activeCell="G8" sqref="G8"/>
    </sheetView>
  </sheetViews>
  <sheetFormatPr defaultColWidth="14.42578125" defaultRowHeight="15" customHeight="1"/>
  <cols>
    <col min="1" max="1" width="4.7109375" style="20" customWidth="1"/>
    <col min="2" max="2" width="16.7109375" style="20" customWidth="1"/>
    <col min="3" max="3" width="63.28515625" style="20" customWidth="1"/>
    <col min="4" max="4" width="17.28515625" style="20" customWidth="1"/>
    <col min="5" max="5" width="31.28515625" style="20" customWidth="1"/>
    <col min="6" max="6" width="14.42578125" style="20"/>
    <col min="7" max="7" width="34.28515625" style="20" customWidth="1"/>
    <col min="8" max="16384" width="14.42578125" style="20"/>
  </cols>
  <sheetData>
    <row r="1" spans="2:7" ht="20.25" customHeight="1"/>
    <row r="2" spans="2:7" ht="42" customHeight="1">
      <c r="B2" s="160" t="s">
        <v>337</v>
      </c>
      <c r="C2" s="160"/>
      <c r="D2" s="160"/>
      <c r="E2" s="160"/>
    </row>
    <row r="3" spans="2:7" ht="13.9" customHeight="1">
      <c r="B3" s="24"/>
      <c r="C3" s="24"/>
      <c r="D3" s="24"/>
      <c r="E3" s="24"/>
    </row>
    <row r="4" spans="2:7" s="35" customFormat="1" ht="52.15" customHeight="1">
      <c r="B4" s="74" t="s">
        <v>338</v>
      </c>
      <c r="C4" s="74" t="s">
        <v>339</v>
      </c>
      <c r="D4" s="74" t="s">
        <v>340</v>
      </c>
      <c r="E4" s="74" t="s">
        <v>341</v>
      </c>
      <c r="G4" s="17" t="s">
        <v>80</v>
      </c>
    </row>
    <row r="5" spans="2:7" ht="63" customHeight="1">
      <c r="B5" s="74" t="s">
        <v>342</v>
      </c>
      <c r="C5" s="75"/>
      <c r="D5" s="76"/>
      <c r="E5" s="75"/>
    </row>
    <row r="6" spans="2:7" ht="70.150000000000006" customHeight="1">
      <c r="B6" s="74" t="s">
        <v>343</v>
      </c>
      <c r="C6" s="75"/>
      <c r="D6" s="76"/>
      <c r="E6" s="77"/>
    </row>
    <row r="7" spans="2:7" ht="39" customHeight="1">
      <c r="B7" s="21"/>
      <c r="C7" s="21"/>
      <c r="D7" s="22"/>
    </row>
    <row r="8" spans="2:7" ht="39" customHeight="1">
      <c r="B8" s="21"/>
      <c r="C8" s="21"/>
      <c r="D8" s="23"/>
    </row>
    <row r="9" spans="2:7" ht="39" customHeight="1">
      <c r="B9" s="21"/>
      <c r="C9" s="21"/>
      <c r="D9" s="22"/>
    </row>
    <row r="10" spans="2:7" ht="39" customHeight="1">
      <c r="D10" s="23"/>
    </row>
    <row r="11" spans="2:7" ht="39" customHeight="1">
      <c r="D11" s="23"/>
    </row>
    <row r="12" spans="2:7" ht="39" customHeight="1">
      <c r="D12" s="23"/>
    </row>
    <row r="13" spans="2:7" ht="39" customHeight="1">
      <c r="D13" s="23"/>
    </row>
    <row r="14" spans="2:7" ht="39" customHeight="1">
      <c r="D14" s="23"/>
    </row>
    <row r="15" spans="2:7" ht="39" customHeight="1">
      <c r="D15" s="23"/>
    </row>
    <row r="16" spans="2:7" ht="39" customHeight="1">
      <c r="D16" s="23"/>
    </row>
    <row r="17" spans="4:4" ht="39" customHeight="1">
      <c r="D17" s="23"/>
    </row>
    <row r="18" spans="4:4" ht="39" customHeight="1"/>
    <row r="19" spans="4:4" ht="39" customHeight="1"/>
    <row r="20" spans="4:4" ht="39" customHeight="1"/>
    <row r="21" spans="4:4" ht="39" customHeight="1"/>
    <row r="22" spans="4:4" ht="39" customHeight="1"/>
    <row r="23" spans="4:4" ht="39" customHeight="1"/>
    <row r="24" spans="4:4" ht="39" customHeight="1"/>
    <row r="25" spans="4:4" ht="39" customHeight="1"/>
    <row r="26" spans="4:4" ht="39" customHeight="1"/>
    <row r="27" spans="4:4" ht="39" customHeight="1"/>
    <row r="28" spans="4:4" ht="39" customHeight="1"/>
    <row r="29" spans="4:4" ht="39" customHeight="1"/>
    <row r="30" spans="4:4" ht="39" customHeight="1"/>
    <row r="31" spans="4:4" ht="39" customHeight="1"/>
    <row r="32" spans="4:4" ht="39" customHeight="1"/>
    <row r="33" ht="39" customHeight="1"/>
    <row r="34" ht="39" customHeight="1"/>
    <row r="35" ht="39" customHeight="1"/>
    <row r="36" ht="39" customHeight="1"/>
    <row r="37" ht="39" customHeight="1"/>
    <row r="38" ht="39" customHeight="1"/>
    <row r="39" ht="39" customHeight="1"/>
    <row r="40" ht="39" customHeight="1"/>
    <row r="41" ht="39" customHeight="1"/>
    <row r="42" ht="39" customHeight="1"/>
    <row r="43" ht="39" customHeight="1"/>
    <row r="44" ht="39" customHeight="1"/>
    <row r="45" ht="39" customHeight="1"/>
    <row r="46" ht="39" customHeight="1"/>
    <row r="47" ht="39" customHeight="1"/>
    <row r="48" ht="39" customHeight="1"/>
    <row r="49" ht="39" customHeight="1"/>
    <row r="50" ht="39" customHeight="1"/>
    <row r="51" ht="39" customHeight="1"/>
    <row r="52" ht="39" customHeight="1"/>
    <row r="53" ht="39" customHeight="1"/>
    <row r="54" ht="39" customHeight="1"/>
    <row r="55" ht="39" customHeight="1"/>
    <row r="56" ht="39" customHeight="1"/>
    <row r="57" ht="39" customHeight="1"/>
    <row r="58" ht="39" customHeight="1"/>
    <row r="59" ht="39" customHeight="1"/>
    <row r="60" ht="39" customHeight="1"/>
    <row r="61" ht="39" customHeight="1"/>
    <row r="62" ht="39" customHeight="1"/>
    <row r="63" ht="39" customHeight="1"/>
    <row r="64" ht="39" customHeight="1"/>
    <row r="65" ht="39" customHeight="1"/>
    <row r="66" ht="39" customHeight="1"/>
    <row r="67" ht="39" customHeight="1"/>
    <row r="68" ht="39" customHeight="1"/>
    <row r="69" ht="39" customHeight="1"/>
    <row r="70" ht="39" customHeight="1"/>
    <row r="71" ht="39" customHeight="1"/>
    <row r="72" ht="39" customHeight="1"/>
    <row r="73" ht="39" customHeight="1"/>
    <row r="74" ht="39" customHeight="1"/>
    <row r="75" ht="39" customHeight="1"/>
    <row r="76" ht="39" customHeight="1"/>
    <row r="77" ht="39" customHeight="1"/>
    <row r="78" ht="39" customHeight="1"/>
    <row r="79" ht="39" customHeight="1"/>
    <row r="80" ht="39" customHeight="1"/>
    <row r="81" ht="39" customHeight="1"/>
    <row r="82" ht="39" customHeight="1"/>
    <row r="83" ht="39" customHeight="1"/>
    <row r="84" ht="39" customHeight="1"/>
    <row r="85" ht="39" customHeight="1"/>
    <row r="86" ht="39" customHeight="1"/>
    <row r="87" ht="39" customHeight="1"/>
    <row r="88" ht="39" customHeight="1"/>
    <row r="89" ht="39" customHeight="1"/>
    <row r="90" ht="39" customHeight="1"/>
    <row r="91" ht="39" customHeight="1"/>
    <row r="92" ht="39" customHeight="1"/>
    <row r="93" ht="39" customHeight="1"/>
    <row r="94" ht="39" customHeight="1"/>
    <row r="95" ht="39" customHeight="1"/>
    <row r="96" ht="39" customHeight="1"/>
    <row r="97" ht="39" customHeight="1"/>
    <row r="98" ht="39" customHeight="1"/>
    <row r="99" ht="39" customHeight="1"/>
    <row r="100" ht="39" customHeight="1"/>
    <row r="101" ht="39" customHeight="1"/>
    <row r="102" ht="39" customHeight="1"/>
    <row r="103" ht="39" customHeight="1"/>
    <row r="104" ht="39" customHeight="1"/>
    <row r="105" ht="39" customHeight="1"/>
    <row r="106" ht="39" customHeight="1"/>
    <row r="107" ht="39" customHeight="1"/>
    <row r="108" ht="39" customHeight="1"/>
    <row r="109" ht="39" customHeight="1"/>
    <row r="110" ht="39" customHeight="1"/>
    <row r="111" ht="39" customHeight="1"/>
    <row r="112" ht="39" customHeight="1"/>
    <row r="113" ht="39" customHeight="1"/>
    <row r="114" ht="39" customHeight="1"/>
    <row r="115" ht="39" customHeight="1"/>
    <row r="116" ht="39" customHeight="1"/>
    <row r="117" ht="39" customHeight="1"/>
    <row r="118" ht="39" customHeight="1"/>
    <row r="119" ht="39" customHeight="1"/>
    <row r="120" ht="39" customHeight="1"/>
    <row r="121" ht="39" customHeight="1"/>
    <row r="122" ht="39" customHeight="1"/>
    <row r="123" ht="39" customHeight="1"/>
    <row r="124" ht="39" customHeight="1"/>
    <row r="125" ht="39" customHeight="1"/>
    <row r="126" ht="39" customHeight="1"/>
    <row r="127" ht="39" customHeight="1"/>
    <row r="128" ht="39" customHeight="1"/>
    <row r="129" ht="39" customHeight="1"/>
    <row r="130" ht="39" customHeight="1"/>
    <row r="131" ht="39" customHeight="1"/>
    <row r="132" ht="39" customHeight="1"/>
    <row r="133" ht="39" customHeight="1"/>
    <row r="134" ht="39" customHeight="1"/>
    <row r="135" ht="39" customHeight="1"/>
    <row r="136" ht="39" customHeight="1"/>
    <row r="137" ht="39" customHeight="1"/>
    <row r="138" ht="39" customHeight="1"/>
    <row r="139" ht="39" customHeight="1"/>
    <row r="140" ht="39" customHeight="1"/>
    <row r="141" ht="39" customHeight="1"/>
    <row r="142" ht="39" customHeight="1"/>
    <row r="143" ht="39" customHeight="1"/>
    <row r="144" ht="39" customHeight="1"/>
    <row r="145" ht="39" customHeight="1"/>
    <row r="146" ht="39" customHeight="1"/>
    <row r="147" ht="39" customHeight="1"/>
    <row r="148" ht="39" customHeight="1"/>
    <row r="149" ht="39" customHeight="1"/>
    <row r="150" ht="39" customHeight="1"/>
    <row r="151" ht="39" customHeight="1"/>
    <row r="152" ht="39" customHeight="1"/>
    <row r="153" ht="39" customHeight="1"/>
    <row r="154" ht="39" customHeight="1"/>
    <row r="155" ht="39" customHeight="1"/>
    <row r="156" ht="39" customHeight="1"/>
    <row r="157" ht="39" customHeight="1"/>
    <row r="158" ht="39" customHeight="1"/>
    <row r="159" ht="39" customHeight="1"/>
    <row r="160" ht="39" customHeight="1"/>
    <row r="161" ht="39" customHeight="1"/>
    <row r="162" ht="39" customHeight="1"/>
    <row r="163" ht="39" customHeight="1"/>
    <row r="164" ht="39" customHeight="1"/>
    <row r="165" ht="39" customHeight="1"/>
    <row r="166" ht="39" customHeight="1"/>
    <row r="167" ht="39" customHeight="1"/>
    <row r="168" ht="39" customHeight="1"/>
    <row r="169" ht="39" customHeight="1"/>
    <row r="170" ht="39" customHeight="1"/>
    <row r="171" ht="39" customHeight="1"/>
    <row r="172" ht="39" customHeight="1"/>
    <row r="173" ht="39" customHeight="1"/>
    <row r="174" ht="39" customHeight="1"/>
    <row r="175" ht="39" customHeight="1"/>
    <row r="176" ht="39" customHeight="1"/>
    <row r="177" ht="39" customHeight="1"/>
    <row r="178" ht="39" customHeight="1"/>
    <row r="179" ht="39"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mergeCells count="1">
    <mergeCell ref="B2:E2"/>
  </mergeCell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598F5E763CBA4484AFCBEEFD21CC19" ma:contentTypeVersion="4" ma:contentTypeDescription="Create a new document." ma:contentTypeScope="" ma:versionID="13e416a902cd3394f49a83b0be774d63">
  <xsd:schema xmlns:xsd="http://www.w3.org/2001/XMLSchema" xmlns:xs="http://www.w3.org/2001/XMLSchema" xmlns:p="http://schemas.microsoft.com/office/2006/metadata/properties" xmlns:ns2="566e3ef1-3efa-4790-b915-c6df84a92386" targetNamespace="http://schemas.microsoft.com/office/2006/metadata/properties" ma:root="true" ma:fieldsID="bdd8e9c1ce561a7fd56ff62d33adba49" ns2:_="">
    <xsd:import namespace="566e3ef1-3efa-4790-b915-c6df84a923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6e3ef1-3efa-4790-b915-c6df84a923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723DA0-AB81-47C9-B6BF-EC7FE434AA77}"/>
</file>

<file path=customXml/itemProps2.xml><?xml version="1.0" encoding="utf-8"?>
<ds:datastoreItem xmlns:ds="http://schemas.openxmlformats.org/officeDocument/2006/customXml" ds:itemID="{F17FD18D-D287-4A27-ACCB-3B89623D6265}"/>
</file>

<file path=customXml/itemProps3.xml><?xml version="1.0" encoding="utf-8"?>
<ds:datastoreItem xmlns:ds="http://schemas.openxmlformats.org/officeDocument/2006/customXml" ds:itemID="{28AF39F5-3700-459D-A4D8-6B987EE744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Ravishankar Mani</dc:creator>
  <cp:keywords/>
  <dc:description/>
  <cp:lastModifiedBy>Ajinkya Sankhe</cp:lastModifiedBy>
  <cp:revision/>
  <dcterms:created xsi:type="dcterms:W3CDTF">2021-02-04T01:31:24Z</dcterms:created>
  <dcterms:modified xsi:type="dcterms:W3CDTF">2025-09-06T07:16:06Z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0x010100F8598F5E763CBA4484AFCBEEFD21CC19</vt:lpwstr>
  </property>
</Properties>
</file>